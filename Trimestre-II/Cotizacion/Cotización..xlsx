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2"/>
  <workbookPr/>
  <mc:AlternateContent xmlns:mc="http://schemas.openxmlformats.org/markup-compatibility/2006">
    <mc:Choice Requires="x15">
      <x15ac:absPath xmlns:x15ac="http://schemas.microsoft.com/office/spreadsheetml/2010/11/ac" url="https://d.docs.live.net/7600C82FEFFDF158/Documentos/"/>
    </mc:Choice>
  </mc:AlternateContent>
  <xr:revisionPtr revIDLastSave="1868" documentId="8_{4D5C8D0C-9948-4786-9EC8-E6BA9B3AA4A0}" xr6:coauthVersionLast="47" xr6:coauthVersionMax="47" xr10:uidLastSave="{928D34EA-2068-4B8B-A77A-43885EC4480D}"/>
  <bookViews>
    <workbookView xWindow="-120" yWindow="-120" windowWidth="20730" windowHeight="11040" firstSheet="13" activeTab="8" xr2:uid="{063D76EE-A428-4AE3-B583-F2CCF8C53781}"/>
  </bookViews>
  <sheets>
    <sheet name="Servidores" sheetId="1" r:id="rId1"/>
    <sheet name="Equipos de computo" sheetId="2" r:id="rId2"/>
    <sheet name="Dominio" sheetId="3" r:id="rId3"/>
    <sheet name="Licencias Microsoft" sheetId="5" r:id="rId4"/>
    <sheet name="Hosting-Servidor-web" sheetId="4" r:id="rId5"/>
    <sheet name="Licencias de Windows" sheetId="6" r:id="rId6"/>
    <sheet name="Visual Studio" sheetId="7" r:id="rId7"/>
    <sheet name="Base de Datos" sheetId="8" r:id="rId8"/>
    <sheet name="Windows Server" sheetId="11" r:id="rId9"/>
    <sheet name="SoporteTecnico-mantenimiento" sheetId="10" r:id="rId10"/>
    <sheet name="Desarrollo-actividades " sheetId="12" r:id="rId11"/>
    <sheet name="Recursos-Humanos" sheetId="14" r:id="rId12"/>
    <sheet name="Alquiler-Equipos-Computo" sheetId="16" r:id="rId13"/>
    <sheet name="Cotización-final" sheetId="15"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5" l="1"/>
  <c r="J11" i="14"/>
  <c r="B17" i="15"/>
  <c r="B16" i="15"/>
  <c r="B15" i="15"/>
  <c r="B14" i="15"/>
  <c r="B12" i="15"/>
  <c r="B11" i="15"/>
  <c r="B7" i="15"/>
  <c r="B8" i="15"/>
  <c r="B6" i="15"/>
  <c r="B5" i="15"/>
  <c r="C15" i="15"/>
  <c r="D15" i="15"/>
  <c r="C16" i="15"/>
  <c r="D16" i="15"/>
  <c r="C17" i="15"/>
  <c r="D17" i="15"/>
  <c r="C18" i="15"/>
  <c r="D18" i="15"/>
  <c r="C12" i="15"/>
  <c r="D12" i="15"/>
  <c r="C13" i="15"/>
  <c r="D13" i="15"/>
  <c r="C14" i="15"/>
  <c r="D14" i="15"/>
  <c r="I6" i="16"/>
  <c r="I7" i="16"/>
  <c r="I8" i="16"/>
  <c r="I5" i="16"/>
  <c r="E12" i="16"/>
  <c r="F12" i="16"/>
  <c r="D6" i="16"/>
  <c r="D7" i="16"/>
  <c r="D8" i="16"/>
  <c r="D5" i="16"/>
  <c r="E11" i="16"/>
  <c r="F11" i="16" s="1"/>
  <c r="I10" i="16"/>
  <c r="E10" i="16"/>
  <c r="F10" i="16" s="1"/>
  <c r="I9" i="16"/>
  <c r="E9" i="16"/>
  <c r="F9" i="16" s="1"/>
  <c r="E8" i="16"/>
  <c r="F8" i="16" s="1"/>
  <c r="E7" i="16"/>
  <c r="F7" i="16" s="1"/>
  <c r="E6" i="16"/>
  <c r="F6" i="16" s="1"/>
  <c r="I11" i="16"/>
  <c r="E5" i="16"/>
  <c r="F5" i="16" s="1"/>
  <c r="C11" i="15"/>
  <c r="D11" i="15" s="1"/>
  <c r="C10" i="15"/>
  <c r="D10" i="15" s="1"/>
  <c r="C9" i="15"/>
  <c r="D9" i="15" s="1"/>
  <c r="C8" i="15"/>
  <c r="D8" i="15" s="1"/>
  <c r="C7" i="15"/>
  <c r="D7" i="15" s="1"/>
  <c r="C6" i="15"/>
  <c r="D6" i="15" s="1"/>
  <c r="C5" i="15"/>
  <c r="D5" i="15" s="1"/>
  <c r="E9" i="14"/>
  <c r="F9" i="14"/>
  <c r="I9" i="14"/>
  <c r="J9" i="14"/>
  <c r="E10" i="14"/>
  <c r="F10" i="14"/>
  <c r="I10" i="14"/>
  <c r="J10" i="14"/>
  <c r="E11" i="14"/>
  <c r="F11" i="14"/>
  <c r="I6" i="14"/>
  <c r="J6" i="14" s="1"/>
  <c r="I7" i="14"/>
  <c r="J7" i="14" s="1"/>
  <c r="I8" i="14"/>
  <c r="J8" i="14" s="1"/>
  <c r="I5" i="14"/>
  <c r="J5" i="14" s="1"/>
  <c r="E8" i="14"/>
  <c r="F8" i="14" s="1"/>
  <c r="E6" i="14"/>
  <c r="F6" i="14" s="1"/>
  <c r="E5" i="14"/>
  <c r="F5" i="14" s="1"/>
  <c r="B7" i="10"/>
  <c r="D8" i="12"/>
  <c r="D7" i="12"/>
  <c r="D6" i="12"/>
  <c r="D5" i="12"/>
  <c r="D11" i="12" s="1"/>
  <c r="F12" i="11"/>
  <c r="G12" i="11" s="1"/>
  <c r="F11" i="11"/>
  <c r="G11" i="11" s="1"/>
  <c r="F10" i="11"/>
  <c r="G10" i="11" s="1"/>
  <c r="F9" i="11"/>
  <c r="G9" i="11" s="1"/>
  <c r="F5" i="3"/>
  <c r="F6" i="3"/>
  <c r="F8" i="3"/>
  <c r="F9" i="3"/>
  <c r="F10" i="3"/>
  <c r="G5" i="3"/>
  <c r="G6" i="3"/>
  <c r="G8" i="3"/>
  <c r="G9" i="3"/>
  <c r="G10" i="3"/>
  <c r="D6" i="10"/>
  <c r="D7" i="10"/>
  <c r="D5" i="10"/>
  <c r="F5" i="8"/>
  <c r="G5" i="8" s="1"/>
  <c r="F6" i="8"/>
  <c r="G6" i="8" s="1"/>
  <c r="F7" i="8"/>
  <c r="G7" i="8" s="1"/>
  <c r="F8" i="8"/>
  <c r="G8" i="8" s="1"/>
  <c r="F9" i="8"/>
  <c r="G9" i="8" s="1"/>
  <c r="F10" i="8"/>
  <c r="G10" i="8" s="1"/>
  <c r="F11" i="8"/>
  <c r="G11" i="8" s="1"/>
  <c r="F12" i="8"/>
  <c r="G12" i="8" s="1"/>
  <c r="F5" i="7"/>
  <c r="G5" i="7" s="1"/>
  <c r="F6" i="7"/>
  <c r="G6" i="7" s="1"/>
  <c r="F7" i="7"/>
  <c r="G7" i="7" s="1"/>
  <c r="F8" i="7"/>
  <c r="G8" i="7" s="1"/>
  <c r="F5" i="6"/>
  <c r="G5" i="6" s="1"/>
  <c r="F6" i="6"/>
  <c r="G6" i="6" s="1"/>
  <c r="F7" i="6"/>
  <c r="G7" i="6" s="1"/>
  <c r="F8" i="6"/>
  <c r="G8" i="6" s="1"/>
  <c r="F9" i="6"/>
  <c r="G9" i="6" s="1"/>
  <c r="F10" i="6"/>
  <c r="G10" i="6" s="1"/>
  <c r="F11" i="6"/>
  <c r="G11" i="6" s="1"/>
  <c r="F5" i="4"/>
  <c r="G5" i="4" s="1"/>
  <c r="F6" i="4"/>
  <c r="G6" i="4" s="1"/>
  <c r="F7" i="4"/>
  <c r="G7" i="4" s="1"/>
  <c r="F8" i="4"/>
  <c r="G8" i="4" s="1"/>
  <c r="F9" i="4"/>
  <c r="G9" i="4" s="1"/>
  <c r="F10" i="4"/>
  <c r="G10" i="4" s="1"/>
  <c r="F11" i="4"/>
  <c r="G11" i="4" s="1"/>
  <c r="E7" i="3"/>
  <c r="E7" i="14" l="1"/>
  <c r="F7" i="14" s="1"/>
  <c r="D11" i="10"/>
  <c r="F7" i="3"/>
  <c r="G7" i="3" s="1"/>
</calcChain>
</file>

<file path=xl/sharedStrings.xml><?xml version="1.0" encoding="utf-8"?>
<sst xmlns="http://schemas.openxmlformats.org/spreadsheetml/2006/main" count="444" uniqueCount="214">
  <si>
    <t xml:space="preserve">Cuadro Comparativo de Cotizaciones </t>
  </si>
  <si>
    <t>Cotización</t>
  </si>
  <si>
    <t>Tipo de Servidor</t>
  </si>
  <si>
    <t>Proveedor</t>
  </si>
  <si>
    <t>Descripcion</t>
  </si>
  <si>
    <t>Valor Total</t>
  </si>
  <si>
    <t>Forma de Pago</t>
  </si>
  <si>
    <t>Obsevaciones</t>
  </si>
  <si>
    <t>COT-001</t>
  </si>
  <si>
    <t>Local</t>
  </si>
  <si>
    <t>Dell Technologies</t>
  </si>
  <si>
    <t>Servidor Dell PowerEdge T40
Intel Xeon E-2224G, 8GB RAM, 1TB HDD</t>
  </si>
  <si>
    <t>$ 4200000</t>
  </si>
  <si>
    <t>Contado</t>
  </si>
  <si>
    <t>https://tiendalenovomedellin.com/products/servidor-dell-poweredge-t40-xeon-e3-2224g?srsltid=AfmBOopmMFn7a-tb0M4POwNjXI27LKDzUBUrvznDq6uxzHfdGVEBsdXX&amp;utm_source=chatgpt.com</t>
  </si>
  <si>
    <t>COT-003</t>
  </si>
  <si>
    <t xml:space="preserve">Local </t>
  </si>
  <si>
    <t>Lenovo</t>
  </si>
  <si>
    <t>ThinkSystem ST50 V2, Xeon E-2324G, 16GB RAM, 2TB HDD</t>
  </si>
  <si>
    <t xml:space="preserve">$ 4571429 </t>
  </si>
  <si>
    <t>https://systorecolombia.com/torre/389-servidor-lenovo-st50-v2-xeon-e2324g-16gb-2tb-7d8ka00ala.html</t>
  </si>
  <si>
    <t>Modulo</t>
  </si>
  <si>
    <t>Estado</t>
  </si>
  <si>
    <t>URLS</t>
  </si>
  <si>
    <t>N°1</t>
  </si>
  <si>
    <t>Alkosto</t>
  </si>
  <si>
    <t>Computador All In One LENOVO IdeaCentre AIO</t>
  </si>
  <si>
    <t>Administrador</t>
  </si>
  <si>
    <t xml:space="preserve">contado </t>
  </si>
  <si>
    <t>NUEVO</t>
  </si>
  <si>
    <t>27" Pulgadas 27IRH9 - Intel Core i7 - RAM 16GB - Disco SSD 512GB - Gris</t>
  </si>
  <si>
    <t>https://www.alkosto.com/computador-all-in-one-lenovo-ideacentre-aio-27-pulgadas/p/198153841134</t>
  </si>
  <si>
    <t>N°2</t>
  </si>
  <si>
    <t>Optometra</t>
  </si>
  <si>
    <t>27" Pulgadas 27IRH9 - Intel Core i5 - RAM 8GB - Disco SSD 512GB - Gris</t>
  </si>
  <si>
    <t>https://www.alkosto.com/computador-all-in-one-lenovo-ideacentre-aio-27-pulgadas/p/198155085390</t>
  </si>
  <si>
    <t>N°3</t>
  </si>
  <si>
    <t>Mercado Libre</t>
  </si>
  <si>
    <t xml:space="preserve">Portatil Asus Vivobook </t>
  </si>
  <si>
    <t>Empleado(Bodega)</t>
  </si>
  <si>
    <t>E1504ga Core I3 N305 Ram 8gb 512gb Color Gris</t>
  </si>
  <si>
    <t>https://www.mercadolibre.com.co/portatil-asus-vivobook-e1504ga-core-i3-n305-ram-8gb-512gb-color-gris/p/MCO51203431#polycard_client=search-nordic&amp;search_layout=stack&amp;position=3&amp;type=product&amp;tracking_id=fd9a58a6-78d1-4232-98d0-5133b59c83a0&amp;wid=MCO2953509182&amp;sid=search</t>
  </si>
  <si>
    <t>N°4</t>
  </si>
  <si>
    <t>Computador All In One LENOVO</t>
  </si>
  <si>
    <t>Empleado(Caja)</t>
  </si>
  <si>
    <t>23.8" Pulgadas A100 - Intel Core i3 - RAM 8GB - Disco SSD 512GB - Gris</t>
  </si>
  <si>
    <t>https://www.alkosto.com/computador-all-in-one-lenovo-238-pulgadas-a100-intel-core/p/198156629623</t>
  </si>
  <si>
    <t>N°5</t>
  </si>
  <si>
    <t>Empleado (Proveedor)</t>
  </si>
  <si>
    <t>N°6</t>
  </si>
  <si>
    <t>Portatil Lenovo V14</t>
  </si>
  <si>
    <t>Lider de Proyecto</t>
  </si>
  <si>
    <t>14" Pulgadas core i5 13420H-S.OWindows-SSD:512 GB-24 GB RAM-color Negro.</t>
  </si>
  <si>
    <t>https://www.mercadolibre.com.co/portatil-lenovo-v14-core-i5-13420h-24gb-512gb-ssd-color-negro/p/MCO44279796?product_trigger_id=MCO44291281&amp;picker=true</t>
  </si>
  <si>
    <t>N°7</t>
  </si>
  <si>
    <t>Katronix</t>
  </si>
  <si>
    <t>Computador Portátil HP ProBook</t>
  </si>
  <si>
    <t>Desarrollador Frontend</t>
  </si>
  <si>
    <t>15.6" Pulgadas PB450 G10 - Intel Core i7 - RAM 16GB - Disco SSD 1 TB - Plateado</t>
  </si>
  <si>
    <t>https://www.ktronix.com/computador-portatil-hp-probook-156-pulgadas-pb450-g10/p/198828758040</t>
  </si>
  <si>
    <t>N°8</t>
  </si>
  <si>
    <t>Desarrollador Backend</t>
  </si>
  <si>
    <t>N°9</t>
  </si>
  <si>
    <t>Analista QA/Testing</t>
  </si>
  <si>
    <t>URL (Datos de la empresa )</t>
  </si>
  <si>
    <t>IVA Incluido</t>
  </si>
  <si>
    <t>Valor Total2</t>
  </si>
  <si>
    <t>Colombia Hosting</t>
  </si>
  <si>
    <t>https://www.colombiahosting.com.co/registro-dominios#transfer</t>
  </si>
  <si>
    <t>.com</t>
  </si>
  <si>
    <t>La extensión más reconocida y confiable mundialmente. Atrae a más visitantes y proyecta una imagen profesional para tu sitio web.</t>
  </si>
  <si>
    <t>HOSTINGER</t>
  </si>
  <si>
    <t>https://www.hostinger.com/co/comprar-dominio?utm_campaign=Generic-Domains|NT:Se|LO:CO&amp;utm_medium=ppc&amp;gad_source=1&amp;gad_campaignid=10835301752&amp;gbraid=0AAAAADMy-hbjhmU6MB-zZ24oX4lYvKZP0&amp;gclid=EAIaIQobChMI-t2BkP_-kAMVd4VaBR2_Uj0ZEAAYAiAAEgJHFvD_BwE</t>
  </si>
  <si>
    <t>Inspira confianza con este dominio reconocido.</t>
  </si>
  <si>
    <t>HostGator</t>
  </si>
  <si>
    <t>https://www.hostgator.co/dominios</t>
  </si>
  <si>
    <t>Obten relevencia internacional para tu marca.</t>
  </si>
  <si>
    <t>Mi.com.co</t>
  </si>
  <si>
    <t>https://mi.com.co/Dominios</t>
  </si>
  <si>
    <t>Es uno de los más importantes y reconocidos a nivel mundial</t>
  </si>
  <si>
    <t>Observaciones</t>
  </si>
  <si>
    <t>SYSCARIBE</t>
  </si>
  <si>
    <t>Microsoft 365 Empresa Premium (Suscripción 1 Año)</t>
  </si>
  <si>
    <t>Administración de identidad y acceso avanzada
Protección mejorada frente a ciberamenazas contra virus y ataques de phishing
Protección de dispositivos y puntos de conexión de grado empresarial
Descubre, clasifica y protege información confidencial
Microsoft 365 Copilot está disponible como complemento</t>
  </si>
  <si>
    <t>https://www.syscaribe.com/producto/microsoft-365-business-premium-suscripcion-1-ano/</t>
  </si>
  <si>
    <t>COT-002</t>
  </si>
  <si>
    <t>MICROSOFT</t>
  </si>
  <si>
    <t>Microsoft 365 Empresa Básico</t>
  </si>
  <si>
    <t xml:space="preserve">
Administración de identidad y acceso para hasta 300 usuarios
Versiones web y móviles3 de Word, Excel, PowerPoint y Outlook
Correo empresarial personalizado (nombre@tu empresa.com)
Chat, llamadas y videoconferencias con Microsoft Teams
1 TB de almacenamiento en la nube por usuario
Más de 10 aplicaciones adicionales para tus necesidades empresariales (incluidas Microsoft Bookings, Planner y Forms)
Experiencia de chat con tecnología de IA con base web, asistencia en redacción, análisis de datos y acceso a agentes4
Filtrado automático de correo no deseado y malware
Soporte ininterrumpido por teléfono y a través de la Web</t>
  </si>
  <si>
    <t>https://www.microsoft.com/es-co/microsoft-365/business/microsoft-365-plans-and-pricing</t>
  </si>
  <si>
    <t>URL (Datos de la empresa)</t>
  </si>
  <si>
    <t>https://mi.com.co/hosting</t>
  </si>
  <si>
    <t>Hosting Advanced (5 GB- 9GB)</t>
  </si>
  <si>
    <t>* Almacenamiento SSD NVMe: 9GB
 * SSL gratis para todos tus dominios
 * 2GB de memoria RAM
* 10 sitios web y subdominios
 *Redirecciona 10 dominios
* 20 bases de datos
 *Tráfico ilimitado
* Migración gratis
 *WordPress, Joomla y más
* Copias de seguridad mensuales
 *Sistema operativo CloudLinux
* PHP, Node.js, Python, Ruby
* Seguridad avanzada Imunify360
* Hasta 2 millones de archivos</t>
  </si>
  <si>
    <t>Latinoamerica hosting</t>
  </si>
  <si>
    <t>https://www.latinoamericahosting.com.co/hosting/?gad_source=1&amp;gad_campaignid=11605730357&amp;gbraid=0AAAAAByL0_gt1n038ZNZe-XNHYLyWOpts&amp;gclid=EAIaIQobChMIj_6F94r_kAMVtadaBR0s9jQPEAAYASAAEgJug_D_BwE</t>
  </si>
  <si>
    <t>Hosting H2 (30 GB)</t>
  </si>
  <si>
    <t>*30 GB Espacio SSD NVMe
 *600 GB de Tráfico / mes
 *2 CPU / Garantizado
 *4 GB de memoria RAM
* IPv4 + IPv6 activado
 *20 Cuentas E-mail
 *5 Bases de datos
 *2 Dominios permitidos
 *WordPress / Joomla / Otros
 *LiteSpeed + LSCache
* Seguridad Imunify360
 *Constructor de sitios Pro
* Copias de seguridad
* SSL gratis (https://)</t>
  </si>
  <si>
    <t>bluehosting</t>
  </si>
  <si>
    <t>https://www.bluehosting.com.co/</t>
  </si>
  <si>
    <t>Hosting full (ilimitado)</t>
  </si>
  <si>
    <t xml:space="preserve">* 40% más poderoso que plan
* Emprendedores Power          
*Espacio almacenamiento SSD Ilimitado       
 *Sitios web ilimitados    
*Cuentas de correo ilimitadas                                        
* 4 GB de memoria RAM 
*Transferencia de datos sin medición
*Base de datos ilimitado
*Transferencia de datos ilimitado
*SSL Gratuito Let’s Encrypt  ilimitado
</t>
  </si>
  <si>
    <t>https://www.colombiahosting.com.co/hosting</t>
  </si>
  <si>
    <t>Hosting Colhost 2 (20 GB)</t>
  </si>
  <si>
    <t>*2 web
*20 bases de datos
*20 GB NVMe SSD
*20 cuentas de correo
*Creador de sitios web
*2 Certificado SSL
*Email Marketing</t>
  </si>
  <si>
    <t xml:space="preserve">Buho Digital </t>
  </si>
  <si>
    <t>https://buhodigitalcol.com/licencia-windows-11-pro/?srsltid=AfmBOoosj4MAWsyyDo9CcP1SesAbr_09Ga2x1xZZAqndC0GxetbvgJz3sBg</t>
  </si>
  <si>
    <t>Windows 11 pro</t>
  </si>
  <si>
    <t xml:space="preserve">Contado </t>
  </si>
  <si>
    <t>Esta licencia Windows 11 es compatible con la versión Windows 11 Professional, es una licencia totalmente legitima, legal y sirve para activar Windows 11 pro en un computador una sola vez, en caso de formateo es posible reinstalarla siempre y cuando sea el mismo equipo y no se hayan hecho cambios significativos de hardware. (realizar este proceso bajo su responsabilidad)
Ideal para entornos empresariales y de hogar, aplica para auditorias empresariales.</t>
  </si>
  <si>
    <t xml:space="preserve">Tulicencia </t>
  </si>
  <si>
    <t>https://tulicencias.com/product/windows-11-pro/?currency=COP&amp;srsltid=AfmBOooFL0vqHP1Vf4LOoTxFJ8Vap6vXkePu7CMm2jAfip2uDJcHj8Z_d3s</t>
  </si>
  <si>
    <t>* Activación en línea
*Licencia de por vida para 1 PC
*Clave original de 25 caracteres
* Licencia vinculada a su cuenta Microsoft
* Puede reinstalarla en el mismo PC
* Permite instalación limpia o reinstalación de Windows
*Posible actualización de Windows Home / Home Single Language a Windows Pro (se envía manual)
*Envío instantáneo por correo electrónico
*Disponible en todos los idiomas</t>
  </si>
  <si>
    <t xml:space="preserve">Olimpica </t>
  </si>
  <si>
    <t>https://www.olimpica.com/windows-11-pro-1-dispositivo-1002383543/p?idsku=1100208090</t>
  </si>
  <si>
    <t>*SEGURIDAD AVANZADA
Protección integral con antiphishing y cortafuegos, defendiendo tus dispositivos contra amenazas en tiempo real.
*MEJORA DE RENDIMIENTO
Herramientas de limpieza y gestión de aplicaciones para optimizar la velocidad y eficiencia de tus dispositivos.
*PROTECCIÓN DE PAGOS EN LÍNEA
Garantiza transacciones seguras y protege tu información financiera al comprar por Internet.
*COMPATIBILIDAD MULTIPLATAFORMA
Disponible para Windows®, macOS®, Android™ e iOS®, ofreciendo cobertura para todos tus dispositivos.
*CIBERSEGURIDAD PREMIADA
Una solución confiable y galardonada, diseñada para mantener tus datos protegidos de amenazas en línea</t>
  </si>
  <si>
    <t>Exito</t>
  </si>
  <si>
    <t>https://www.exito.com/windows-11-pro-retail-102325516-mp/p</t>
  </si>
  <si>
    <t xml:space="preserve">*Tipo de licencia: Las licencias de fabricante original OEM (Original Equipment Manufacturer) son un tipo de licencia que los desarrolladores de software suministran a los fabricantes de hardware para que las utilicen en el ensamblaje de sus propios productos.
*Apto para: Hogar y Empresas
*Cuantos Pc : 1 Pc 
*Reinstalable: SI
*Trasferible: NO
*Funciona para: Windows 
*Activacion: 100 % Activacion por Internet 
*Duracion: Licencia vitalicia no vence </t>
  </si>
  <si>
    <t>Nº1</t>
  </si>
  <si>
    <t>Revolution Soft Colombia</t>
  </si>
  <si>
    <t>http://revolutionsoft.com.co/programacion/microsoft-visual-studio-2022-professional.html</t>
  </si>
  <si>
    <t>Visual Studio Profesional(2019)</t>
  </si>
  <si>
    <t>*Compatibilidad con múltiples lenguajes de programación, incluyendo C#, C++, Python, JavaScript, TypeScript, F# y más.
*IntelliCode con inteligencia artificial, mejorando la productividad con sugerencias automáticas.
* Herramientas avanzadas de depuración y pruebas, facilitando la detección y solución de errores.
* Integración con Git y Azure DevOps, permitiendo colaboración en equipos y control de versiones eficiente.
*Compatibilidad con .NET 6 y .NET MAUI, optimizando el desarrollo de aplicaciones multiplataforma.
*Soporte para desarrollo de aplicaciones web, móviles, de escritorio y en la nube.
* Análisis de código y refactorización automatizada, mejorando la calidad del código.
*Compatibilidad con contenedores y Kubernetes, facilitando el desarrollo en entornos Docker.</t>
  </si>
  <si>
    <t>Nº2</t>
  </si>
  <si>
    <t>G2A</t>
  </si>
  <si>
    <t>http://g2a.com/es/microsoft-visual-studio-2022-enterprise-pc-microsoft-key-global-i10000325952001?___language=es&amp;er=3cf501fcfc436491a2261e5494f1762b3db45ff7b5ae84696b3ada99c163e4856bd1e617e82e2ae014844d8920b833fd&amp;uuid=ab06a8fa-cb54-4101-9de2-7ea433024223&amp;srsltid=AfmBOoqgpuaT5WnkXrAKXR6CqQpRTYA_oBAGb1CeMO54gEfv44_1NccTsE0</t>
  </si>
  <si>
    <t>Visual Studio Profesional(2022)</t>
  </si>
  <si>
    <t>*Productivo: escala para trabajar en proyectos de cualquier tamaño y complejidad con un IDE de 64 bits. Codifica con un nuevo editor Razor que puede refactorizar entre archivos. Diagnostica problemas con visualizaciones para operaciones asíncronas y analizadores automáticos.
*Moderno: desarrolla aplicaciones móviles y de escritorio multiplataforma con .NET MAUI. Crea interfaces de usuario web responsivas en C# con Blazor. Crea, depura y prueba aplicaciones .NET y C++ en entornos Linux. Usa las capacidades de recarga en caliente en aplicaciones .NET y C++. Edita páginas ASP.NET en ejecución en la vista del diseñador web
*Innovador: autocompletado de código impulsado por IA. Colabore en tiempo real con sesiones de codificación compartidas. Clone repositorios, navegue por elementos de trabajo y prepare líneas individuales para confirmaciones. Configure automáticamente flujos de trabajo de CI/CD que se pueden implementar en Azure.</t>
  </si>
  <si>
    <t>Nº3</t>
  </si>
  <si>
    <t xml:space="preserve">3clics </t>
  </si>
  <si>
    <t>https://3clics.co/index.php/es/otros-softwares/editor-de-codigo/licencia-visual-studio-2022-detail</t>
  </si>
  <si>
    <t>Visual Studio es uno de los editores de código más populares en el mundo. Esta licencia activa la versión "Pro" que desbloquea todas las características del Software.
Visual Studio 2022, como una aplicación de 64 bits, ofrece un rendimiento y escalabilidad superiores a Visual Studio 2019, mejorando la gestión de proyectos grandes y la utilización de memoria. Incluye una interfaz de usuario más moderna, mejor soporte para las últimas tecnologías y lenguajes, herramientas de depuración avanzadas, integración mejorada con Git y GitHub, y capacidades avanzadas de IntelliCode basadas en inteligencia artificial. Además, proporciona mejores herramientas para la colaboración en equipo y el desarrollo remoto, haciéndolo más adecuado para proyectos modernos y complejos.</t>
  </si>
  <si>
    <t>Nº4</t>
  </si>
  <si>
    <t>Mr. Licencias</t>
  </si>
  <si>
    <t>https://mrlicencias.com/products/visual-studio-2019-professional?_pos=3&amp;_sid=d22f32169&amp;_ss=r&amp;variant=41274197049522&amp;srsltid=AfmBOooblmN0PYcCKhAYsNhJFWYG6aZlXDNV2M2H2aFvASDCFuG2UidnxHM</t>
  </si>
  <si>
    <t>Visual Studio permite a los desarrolladores crear sitios y aplicaciones web, así como servicios web en cualquier entorno compatible con la plataforma .NET. Así, se pueden crear aplicaciones que se comuniquen entre estaciones de trabajo, páginas web, dispositivos móviles, videoconsolas, entre otros.</t>
  </si>
  <si>
    <t xml:space="preserve">Revolution Soft Colombia </t>
  </si>
  <si>
    <t>https://revolutionsoft.com.co/windows-server/sql-server-2022-standard.html</t>
  </si>
  <si>
    <t>Microsoft SQL Standart Edition (24 cores-usuarios ilimitados)</t>
  </si>
  <si>
    <t>*Soporte para hasta 24 cores físicos, optimizando el rendimiento de grandes cargas de trabajo.
* Usuarios ilimitados, permitiendo múltiples conexiones simultáneas sin restricciones.
* Mejora en la consulta de bases de datos, con optimización inteligente de rendimiento.
* Soporte para integración en la nube con Azure, facilitando la conectividad híbrida.
* Alta disponibilidad y recuperación ante desastres, con Always On Failover Clusters.
*Mayor seguridad con cifrado de datos, auditoría avanzada y protección contra amenazas.
* Compatibilidad con Big Data Clusters, permitiendo análisis de datos en entornos empresariales</t>
  </si>
  <si>
    <t xml:space="preserve">Ebay </t>
  </si>
  <si>
    <t>https://www.ebay.com/itm/145519556112?chn=ps&amp;mkevt=1&amp;mkcid=28&amp;google_free_listing_action=view_item</t>
  </si>
  <si>
    <t>SQL Server 2022 introduce una nueva integración de almacenamiento de objetos en la plataforma de datos, lo que te permite integrar SQL Server con almacenamiento de objetos compatible con S3, además de Azure Storage. La primera es una copia de seguridad en URL y la segunda es Data Lake Virtualization
Microsoft Defender para la integración en la nube
Protege tus servidores SQL con el plan Defender for SQL. El plan Defender for SQL requiere que SQL Server Extension for Azure esté habilitado e incluye funcionalidades para descubrir y mitigar posibles vulnerabilidades de bases de datos y detectar actividades anómalas que podrían indicar una amenaza para tus bases de datos. Obtén más información sobre cómo Defender for SQL puede proteger todo el estado de tu base de datos en cualquier lugar: entornos locales, híbridos y multinube.</t>
  </si>
  <si>
    <t xml:space="preserve">ELENST </t>
  </si>
  <si>
    <t>https://www.elenst.com/p/microsoft-sql-server-2022-standard/</t>
  </si>
  <si>
    <t xml:space="preserve">Microsoft SQL Standart Edition </t>
  </si>
  <si>
    <t>SQL Server 2022 permite a los administradores de bases de datos y a los equipos de TI gestionar sus activos de datos de forma más eficiente, con mayor flexibilidad y mínimo impacto en los usuarios finales. Es una solución ideal para organizaciones que requieren una plataforma robusta, inteligente y preparada para el futuro de la nube híbrida y la analítica avanzada.</t>
  </si>
  <si>
    <t>La Tienda de las Licencias</t>
  </si>
  <si>
    <t>https://latiendadelaslicencias.com/es/microsoft-sql-server/sql-server-2022-standard.html?utm_source=chatgpt.com</t>
  </si>
  <si>
    <t>Microsoft SQL Server 2022 Standard es la última versión del popular sistema de gestión de bases de datos relacionales de Microsoft, actualizado con las últimas funciones y características para el manejo de datos. Esta licencia específica es para la edición Standard y cubre hasta 24 núcleos, lo que significa que puede ser utilizada en un servidor con hasta 24 núcleos de procesado</t>
  </si>
  <si>
    <t xml:space="preserve">REVOLUTION SOFT COLOMBIA
</t>
  </si>
  <si>
    <t>https://revolutionsoft.com.co/windows-server-2022/licencia-windows-server-2022-standard.html?id_product_attribute=0</t>
  </si>
  <si>
    <t>Windows Server 2022 Standard</t>
  </si>
  <si>
    <t>Características principales de Windows Server 2022 Standard
Seguridad avanzada y protección multicapa
 Secured-Core Server, integrando medidas de seguridad a nivel de hardware, firmware y software.
Protección avanzada contra ataques, con capacidades de cifrado mejoradas y seguridad basada en virtualización (VBS).
Windows Defender mejorado, con protección en tiempo real contra amenazas y vulnerabilidades.
Rendimiento optimizado y escalabilidad
Soporte para 24 cores de procesamiento, garantizando estabilidad y eficiencia en entornos empresariales.
Compatibilidad con hasta 2 máquinas virtuales (VMs) y 1 host Hyper-V por licencia.
Soporte mejorado para servidores híbridos, facilitando la conexión con Microsoft Azure.
Conectividad híbrida y soporte en la nube
Azure Arc Integration, permitiendo una administración simplificada desde la nube.
 SMB over QUIC, mejorando la conectividad remota sin necesidad de usar VPN.
 Mejoras en contenedores de Windows, optimizando el desarrollo y despliegue de aplicaciones.
Compatibilidad y facilidad de gestión
 Compatibilidad con Active Directory, permitiendo una gestión centralizada de usuarios y dispositivos.
 Soporte para ReFS (Resilient File System), asegurando mayor protección y eficiencia en el almacenamiento de datos.
 Windows Admin Center actualizado, con una interfaz mejorada para monitoreo y administración de servidores.</t>
  </si>
  <si>
    <t>UNIQ</t>
  </si>
  <si>
    <t>https://uniq.software/es/windows/servers/windows-server-2022/windows-server-2022-standard</t>
  </si>
  <si>
    <t>Windows Server 2022 Standard cuenta con varias características clave que lo convierten en un sistema operativo de servidor potente y confiable. Algunas de estas características incluyen:
Mejora de la seguridad con protección avanzada de varias capas
Mejora del rendimiento y la escalabilidad para cargas de trabajo modernas
Gestión eficiente de entornos de nube híbrida
Soporte para contenerización y arquitectura de microservicios
Servicios integrados de Azure para una integración en la nube sin problemas
Capacidades avanzadas de almacenamiento con Storage Migration Service y Storage Replica</t>
  </si>
  <si>
    <t>Tiempo estimado(Horas)</t>
  </si>
  <si>
    <t>Valor Unitario (Hora)</t>
  </si>
  <si>
    <t>Alcance servicio</t>
  </si>
  <si>
    <t>Soporte Técnico</t>
  </si>
  <si>
    <t xml:space="preserve">-Asistencia en resolución de errores y fallas en el código.
- Optimización de rendimiento y seguridad del sistema.
- Actualización y mantenimiento de librerías y dependencias.
- Documentación técnica de cambios realizados.
- Soporte remoto y presencial (según acuerdo).
</t>
  </si>
  <si>
    <t>Actualización del sistema</t>
  </si>
  <si>
    <t xml:space="preserve">- Análisis de la versión actual y diagnóstico de compatibilidad.
- Migración de datos y respaldo seguro previo a la actualización.
- Instalación de nuevas versiones de módulos y dependencias.
- Optimización de rendimiento y seguridad del sistema.
- Capacitación básica al personal sobre cambios implementados.
- Documentación técnica de la actualización realizada.
</t>
  </si>
  <si>
    <t>Monitoreo del sistema</t>
  </si>
  <si>
    <t xml:space="preserve">- Supervisión en tiempo real del rendimiento del sistema.
- Detección temprana de fallas, caídas o anomalías.
- Alertas automáticas y reportes periódicos de estado.
- Análisis de logs y métricas de seguridad.
- Soporte técnico inmediato en caso de incidentes críticos.
- Documentación mensual de hallazgos y mejoras recomendadas.
</t>
  </si>
  <si>
    <t>Total</t>
  </si>
  <si>
    <t>Horas de desarrollo</t>
  </si>
  <si>
    <t>BPMN(organización procesos)</t>
  </si>
  <si>
    <t>Desarrollo de casos de uso</t>
  </si>
  <si>
    <t>Documentación casos de uso</t>
  </si>
  <si>
    <t>Mockups(Representación visual proyecto)</t>
  </si>
  <si>
    <t xml:space="preserve">Responsabilidades </t>
  </si>
  <si>
    <t>Sueldo mensual</t>
  </si>
  <si>
    <t>Trabajo (Horas)</t>
  </si>
  <si>
    <t>Costo(Hora)</t>
  </si>
  <si>
    <t>Costo(Hora)2</t>
  </si>
  <si>
    <t>Líder de Proyecto</t>
  </si>
  <si>
    <t>Coordinación del equipo, comunicación con cliente, gestión de tiempos y entregables</t>
  </si>
  <si>
    <t>https://co.indeed.com/career/l%C3%ADder-de-proyectos/salaries</t>
  </si>
  <si>
    <t>Diseño de interfaces, experiencia de usuario, desarrollo de vistas y formularios</t>
  </si>
  <si>
    <t>https://co.indeed.com/career/programador-front-end/salaries</t>
  </si>
  <si>
    <t>Base de datos, lógica de negocio, APIs, seguridad y autenticación</t>
  </si>
  <si>
    <t>https://co.indeed.com/career/backend-developer/salaries</t>
  </si>
  <si>
    <t>Analista QA / Testing</t>
  </si>
  <si>
    <t>Pruebas de software, documentación, control de calidad y corrección de errores</t>
  </si>
  <si>
    <t>https://co.indeed.com/career/analista-qa/salaries</t>
  </si>
  <si>
    <t>Descripción</t>
  </si>
  <si>
    <t>URL (Datos del proveedor )</t>
  </si>
  <si>
    <t>Costo alquiler(Horas)</t>
  </si>
  <si>
    <t>Uso Estimado(Horas)</t>
  </si>
  <si>
    <t xml:space="preserve">Líder de Proyecto(Computo) </t>
  </si>
  <si>
    <t>https://www.rentasistemas.com/promocion-portatiles/?gad_source=1&amp;gad_campaignid=22644122367&amp;gbraid=0AAAAADm3cOpC7KPgcwYyO2KCO0R1gRjmi&amp;gclid=Cj0KCQiAiqDJBhCXARIsABk2kSkcN-obVuVAiPLK7ZIuMVjhLfvFV2jxgcbEBxe4gaEUUpqJKX_7OqAaAq6BEALw_wcB</t>
  </si>
  <si>
    <t xml:space="preserve">Desarrollador Frontend(Computo) </t>
  </si>
  <si>
    <t>https://kcrentas.com.mx/alquiler-de-equipo-de-computo-en-colombia/?gad_source=1&amp;gad_campaignid=21775987673&amp;gbraid=0AAAAAD4oSyN4Kjmpv8B9lH4Efoc4WrWec&amp;gclid=Cj0KCQiAiqDJBhCXARIsABk2kSlTQGeQ0OC0_H3r6xtXj8rAEGFY7YaMCzdBBbRhqrVGSltf6fJ1m7oaAmLYEALw_wcB</t>
  </si>
  <si>
    <t xml:space="preserve">Desarrollador Backend(Computo) </t>
  </si>
  <si>
    <t>https://www.rentacomputo.com.co/cuanto-cuesta-alquilar-una-computadora-en-bogota/</t>
  </si>
  <si>
    <t xml:space="preserve">Analista QA / Testing(Computo) </t>
  </si>
  <si>
    <t>https://lasus.com.co/es/content/renting-alquiler-computadores?srsltid=AfmBOoo10bxgmR3qnJWs-8afuYU8-J22dCcqxYuUFX5iYbg9M9GbXE8_</t>
  </si>
  <si>
    <t>Cotización final</t>
  </si>
  <si>
    <t>Concepto</t>
  </si>
  <si>
    <t>Costo</t>
  </si>
  <si>
    <t>Recurso Humano (Equipo Desarrollo)</t>
  </si>
  <si>
    <t>Desarrollo actividades(entregables)</t>
  </si>
  <si>
    <t>Soporte Tecnico y mantenimiento</t>
  </si>
  <si>
    <t>Alquiler equipos computo</t>
  </si>
  <si>
    <t>Dominio</t>
  </si>
  <si>
    <t>Hosting - Servidor web</t>
  </si>
  <si>
    <t>Servidor físico</t>
  </si>
  <si>
    <t>Licencia</t>
  </si>
  <si>
    <t>Bases de datos</t>
  </si>
  <si>
    <t>Windows server</t>
  </si>
  <si>
    <t>Visual estudio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</si>
</sst>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Red]\-&quot;$&quot;\ #,##0"/>
    <numFmt numFmtId="165" formatCode="_-[$$-409]* #,##0_ ;_-[$$-409]* \-#,##0\ ;_-[$$-409]* &quot;-&quot;??_ ;_-@_ "/>
    <numFmt numFmtId="166" formatCode="_-[$$-409]* #,##0.00_ ;_-[$$-409]* \-#,##0.00\ ;_-[$$-409]* &quot;-&quot;??_ ;_-@_ "/>
  </numFmts>
  <fonts count="6">
    <font>
      <sz val="11"/>
      <color theme="1"/>
      <name val="Aptos Narrow"/>
      <family val="2"/>
      <scheme val="minor"/>
    </font>
    <font>
      <b/>
      <sz val="24"/>
      <color theme="1"/>
      <name val="Arial"/>
      <family val="2"/>
    </font>
    <font>
      <u/>
      <sz val="11"/>
      <color theme="10"/>
      <name val="Aptos Narrow"/>
      <family val="2"/>
      <scheme val="minor"/>
    </font>
    <font>
      <sz val="8"/>
      <name val="Aptos Narrow"/>
      <family val="2"/>
      <scheme val="minor"/>
    </font>
    <font>
      <sz val="10"/>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C0C0C0"/>
        <bgColor rgb="FFC0C0C0"/>
      </patternFill>
    </fill>
    <fill>
      <patternFill patternType="solid">
        <fgColor theme="2" tint="-9.9978637043366805E-2"/>
        <bgColor rgb="FFC0C0C0"/>
      </patternFill>
    </fill>
    <fill>
      <patternFill patternType="solid">
        <fgColor rgb="FF00B0F0"/>
        <bgColor indexed="64"/>
      </patternFill>
    </fill>
  </fills>
  <borders count="2">
    <border>
      <left/>
      <right/>
      <top/>
      <bottom/>
      <diagonal/>
    </border>
    <border>
      <left/>
      <right/>
      <top style="thin">
        <color rgb="FF000000"/>
      </top>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43">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164" fontId="0" fillId="0" borderId="0" xfId="0" applyNumberFormat="1" applyAlignment="1">
      <alignment horizontal="center" vertical="center"/>
    </xf>
    <xf numFmtId="0" fontId="0" fillId="0" borderId="0" xfId="0" applyAlignment="1">
      <alignment wrapText="1"/>
    </xf>
    <xf numFmtId="0" fontId="2" fillId="0" borderId="0" xfId="2" applyAlignment="1">
      <alignment wrapText="1"/>
    </xf>
    <xf numFmtId="165" fontId="0" fillId="0" borderId="0" xfId="0" applyNumberFormat="1" applyAlignment="1">
      <alignment horizontal="center"/>
    </xf>
    <xf numFmtId="165" fontId="0" fillId="0" borderId="0" xfId="0" applyNumberFormat="1"/>
    <xf numFmtId="0" fontId="0" fillId="0" borderId="0" xfId="0" applyAlignment="1">
      <alignment horizontal="left" wrapText="1"/>
    </xf>
    <xf numFmtId="0" fontId="2" fillId="0" borderId="0" xfId="2" applyAlignment="1">
      <alignment horizontal="center" vertical="center" wrapText="1"/>
    </xf>
    <xf numFmtId="3" fontId="0" fillId="0" borderId="0" xfId="0" applyNumberFormat="1" applyAlignment="1">
      <alignment horizontal="center" vertical="center"/>
    </xf>
    <xf numFmtId="0" fontId="2" fillId="0" borderId="0" xfId="2" applyAlignment="1">
      <alignment horizontal="center" vertical="center"/>
    </xf>
    <xf numFmtId="165" fontId="0" fillId="0" borderId="0" xfId="0" applyNumberFormat="1" applyAlignment="1">
      <alignment horizontal="center" vertical="center"/>
    </xf>
    <xf numFmtId="0" fontId="2" fillId="0" borderId="0" xfId="2" applyAlignment="1">
      <alignment vertical="center"/>
    </xf>
    <xf numFmtId="0" fontId="4" fillId="0" borderId="0" xfId="0" applyFont="1" applyAlignment="1">
      <alignment horizontal="center" vertical="center" wrapText="1"/>
    </xf>
    <xf numFmtId="0" fontId="2" fillId="0" borderId="0" xfId="1" applyAlignment="1">
      <alignment horizontal="center" vertical="center" wrapText="1"/>
    </xf>
    <xf numFmtId="0" fontId="2" fillId="0" borderId="0" xfId="1" applyAlignment="1">
      <alignment wrapText="1"/>
    </xf>
    <xf numFmtId="166" fontId="0" fillId="0" borderId="0" xfId="0" applyNumberFormat="1" applyAlignment="1">
      <alignment horizontal="center" vertical="center"/>
    </xf>
    <xf numFmtId="166" fontId="0" fillId="0" borderId="0" xfId="0" applyNumberFormat="1"/>
    <xf numFmtId="165" fontId="0" fillId="0" borderId="0" xfId="0" applyNumberFormat="1" applyAlignment="1">
      <alignment vertical="center"/>
    </xf>
    <xf numFmtId="0" fontId="2" fillId="0" borderId="0" xfId="2" applyAlignment="1">
      <alignment vertical="center" wrapText="1"/>
    </xf>
    <xf numFmtId="165" fontId="0" fillId="0" borderId="0" xfId="0" applyNumberFormat="1"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left" vertical="center"/>
    </xf>
    <xf numFmtId="0" fontId="2" fillId="0" borderId="0" xfId="1" applyAlignment="1">
      <alignment vertical="center" wrapText="1"/>
    </xf>
    <xf numFmtId="0" fontId="5" fillId="0" borderId="0" xfId="0" applyFont="1"/>
    <xf numFmtId="0" fontId="0" fillId="0" borderId="0" xfId="0" applyAlignment="1">
      <alignment horizontal="center" wrapText="1"/>
    </xf>
    <xf numFmtId="165" fontId="0" fillId="0" borderId="0" xfId="0" applyNumberFormat="1" applyAlignment="1">
      <alignment horizontal="left" vertical="center"/>
    </xf>
    <xf numFmtId="165" fontId="5" fillId="0" borderId="0" xfId="0" applyNumberFormat="1" applyFont="1" applyAlignment="1">
      <alignment horizontal="center" vertical="center"/>
    </xf>
    <xf numFmtId="0" fontId="0" fillId="0" borderId="0" xfId="0" applyNumberFormat="1"/>
    <xf numFmtId="0" fontId="2" fillId="0" borderId="0" xfId="2" applyAlignment="1">
      <alignment horizontal="center" wrapText="1"/>
    </xf>
    <xf numFmtId="166" fontId="0" fillId="0" borderId="0" xfId="0" applyNumberFormat="1" applyFill="1" applyAlignment="1">
      <alignment horizontal="center" vertical="center"/>
    </xf>
    <xf numFmtId="165" fontId="0" fillId="0" borderId="0" xfId="0" applyNumberFormat="1" applyAlignment="1">
      <alignment horizontal="right" vertical="center"/>
    </xf>
    <xf numFmtId="0" fontId="5" fillId="4" borderId="0" xfId="0" applyFont="1" applyFill="1" applyAlignment="1">
      <alignment horizontal="left" vertical="center" wrapText="1"/>
    </xf>
    <xf numFmtId="165" fontId="0" fillId="4" borderId="0" xfId="0" applyNumberFormat="1" applyFill="1" applyAlignment="1">
      <alignment horizontal="right" vertical="center"/>
    </xf>
    <xf numFmtId="0" fontId="0" fillId="0" borderId="0" xfId="0" applyFill="1" applyAlignment="1">
      <alignment horizontal="center" vertical="center" wrapText="1"/>
    </xf>
    <xf numFmtId="0" fontId="0" fillId="0" borderId="0" xfId="0" applyFill="1" applyAlignment="1">
      <alignment horizontal="center" vertical="center"/>
    </xf>
    <xf numFmtId="0" fontId="1" fillId="3" borderId="1" xfId="0" applyFont="1" applyFill="1" applyBorder="1" applyAlignment="1">
      <alignment horizontal="center" vertical="center" wrapText="1"/>
    </xf>
    <xf numFmtId="0" fontId="1" fillId="3"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1" fillId="2" borderId="0" xfId="0" applyFont="1" applyFill="1" applyAlignment="1">
      <alignment horizontal="center" vertical="center" wrapText="1"/>
    </xf>
  </cellXfs>
  <cellStyles count="3">
    <cellStyle name="Hipervínculo" xfId="1" builtinId="8"/>
    <cellStyle name="Hyperlink" xfId="2" xr:uid="{00000000-000B-0000-0000-000008000000}"/>
    <cellStyle name="Normal" xfId="0" builtinId="0"/>
  </cellStyles>
  <dxfs count="36">
    <dxf>
      <numFmt numFmtId="0" formatCode="General"/>
    </dxf>
    <dxf>
      <numFmt numFmtId="0" formatCode="General"/>
    </dxf>
    <dxf>
      <numFmt numFmtId="165" formatCode="_-[$$-409]* #,##0_ ;_-[$$-409]* \-#,##0\ ;_-[$$-409]* &quot;-&quot;??_ ;_-@_ "/>
      <alignment horizontal="right"/>
    </dxf>
    <dxf>
      <alignment horizontal="center" vertical="bottom" textRotation="0" wrapText="0" indent="0" justifyLastLine="0" shrinkToFit="0" readingOrder="0"/>
    </dxf>
    <dxf>
      <numFmt numFmtId="165" formatCode="_-[$$-409]* #,##0_ ;_-[$$-409]* \-#,##0\ ;_-[$$-409]* &quot;-&quot;??_ ;_-@_ "/>
    </dxf>
    <dxf>
      <numFmt numFmtId="0" formatCode="General"/>
    </dxf>
    <dxf>
      <numFmt numFmtId="0" formatCode="General"/>
    </dxf>
    <dxf>
      <alignment horizontal="center" vertical="bottom" textRotation="0" wrapText="0" indent="0" justifyLastLine="0" shrinkToFit="0" readingOrder="0"/>
    </dxf>
    <dxf>
      <numFmt numFmtId="165" formatCode="_-[$$-409]* #,##0_ ;_-[$$-409]* \-#,##0\ ;_-[$$-409]* &quot;-&quot;??_ ;_-@_ "/>
    </dxf>
    <dxf>
      <numFmt numFmtId="165" formatCode="_-[$$-409]* #,##0_ ;_-[$$-409]* \-#,##0\ ;_-[$$-409]* &quot;-&quot;??_ ;_-@_ "/>
      <alignment horizontal="center" vertical="center"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_-[$$-409]* #,##0_ ;_-[$$-409]* \-#,##0\ ;_-[$$-409]* &quot;-&quot;??_ ;_-@_ "/>
    </dxf>
    <dxf>
      <numFmt numFmtId="165" formatCode="_-[$$-409]* #,##0_ ;_-[$$-409]* \-#,##0\ ;_-[$$-409]* &quot;-&quot;??_ ;_-@_ "/>
    </dxf>
    <dxf>
      <alignment horizontal="center" vertical="bottom" textRotation="0" wrapText="0" indent="0" justifyLastLine="0" shrinkToFit="0" readingOrder="0"/>
    </dxf>
    <dxf>
      <numFmt numFmtId="165" formatCode="_-[$$-409]* #,##0_ ;_-[$$-409]* \-#,##0\ ;_-[$$-409]* &quot;-&quot;??_ ;_-@_ "/>
    </dxf>
    <dxf>
      <numFmt numFmtId="165" formatCode="_-[$$-409]* #,##0_ ;_-[$$-409]* \-#,##0\ ;_-[$$-409]* &quot;-&quot;??_ ;_-@_ "/>
    </dxf>
    <dxf>
      <alignment horizontal="center" vertical="bottom" textRotation="0" wrapText="0" indent="0" justifyLastLine="0" shrinkToFit="0" readingOrder="0"/>
    </dxf>
    <dxf>
      <numFmt numFmtId="165" formatCode="_-[$$-409]* #,##0_ ;_-[$$-409]* \-#,##0\ ;_-[$$-409]* &quot;-&quot;??_ ;_-@_ "/>
    </dxf>
    <dxf>
      <numFmt numFmtId="165" formatCode="_-[$$-409]* #,##0_ ;_-[$$-409]* \-#,##0\ ;_-[$$-409]* &quot;-&quot;??_ ;_-@_ "/>
    </dxf>
    <dxf>
      <alignment horizontal="center" vertical="bottom" textRotation="0" wrapText="0" indent="0" justifyLastLine="0" shrinkToFit="0" readingOrder="0"/>
    </dxf>
    <dxf>
      <numFmt numFmtId="165" formatCode="_-[$$-409]* #,##0_ ;_-[$$-409]* \-#,##0\ ;_-[$$-409]* &quot;-&quot;??_ ;_-@_ "/>
    </dxf>
    <dxf>
      <numFmt numFmtId="165" formatCode="_-[$$-409]* #,##0_ ;_-[$$-409]* \-#,##0\ ;_-[$$-409]* &quot;-&quot;??_ ;_-@_ "/>
    </dxf>
    <dxf>
      <alignment horizontal="center" vertical="bottom" textRotation="0" wrapText="0" indent="0" justifyLastLine="0" shrinkToFit="0" readingOrder="0"/>
    </dxf>
    <dxf>
      <numFmt numFmtId="165" formatCode="_-[$$-409]* #,##0_ ;_-[$$-409]* \-#,##0\ ;_-[$$-409]* &quot;-&quot;??_ ;_-@_ "/>
    </dxf>
    <dxf>
      <numFmt numFmtId="165" formatCode="_-[$$-409]* #,##0_ ;_-[$$-409]* \-#,##0\ ;_-[$$-409]* &quot;-&quot;??_ ;_-@_ "/>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08A02B-59D0-4D44-A469-75F38D8D771F}" name="Tabla3" displayName="Tabla3" ref="A4:G7" totalsRowShown="0" headerRowDxfId="35">
  <autoFilter ref="A4:G7" xr:uid="{0F08A02B-59D0-4D44-A469-75F38D8D771F}"/>
  <tableColumns count="7">
    <tableColumn id="1" xr3:uid="{1712A6C6-FE1D-4B90-B9DD-635E4A5D8736}" name="Cotización"/>
    <tableColumn id="9" xr3:uid="{06B16278-E259-4ACF-8293-1BF7CB3D8ADC}" name="Tipo de Servidor"/>
    <tableColumn id="2" xr3:uid="{8D02C745-D1DB-440D-BB67-8764FF6E6A60}" name="Proveedor"/>
    <tableColumn id="3" xr3:uid="{473D62F8-B24D-4860-9B2C-AE610517D273}" name="Descripcion"/>
    <tableColumn id="4" xr3:uid="{01EC1345-45E9-4078-900F-01B51521C050}" name="Valor Total"/>
    <tableColumn id="7" xr3:uid="{0BB82F23-B14C-463D-8B98-BFEAA361100F}" name="Forma de Pago"/>
    <tableColumn id="8" xr3:uid="{0F9354D6-FB88-4586-A0B1-112A0908EBBF}" name="Obsevaciones"/>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77B7AB5-0CDA-4994-9901-4799CAB23BB8}" name="Tabla35" displayName="Tabla35" ref="A4:I14" totalsRowShown="0" headerRowDxfId="34">
  <autoFilter ref="A4:I14" xr:uid="{0F08A02B-59D0-4D44-A469-75F38D8D771F}"/>
  <tableColumns count="9">
    <tableColumn id="1" xr3:uid="{8AA13867-6E88-41C0-BAEB-CE9FCA6746E8}" name="Cotización"/>
    <tableColumn id="2" xr3:uid="{C1EA68D5-2C65-436E-A13E-1A8E6B0FBFC4}" name="Proveedor"/>
    <tableColumn id="9" xr3:uid="{37B210A2-A962-44F2-B91C-789DD69CDFE0}" name="Descripcion"/>
    <tableColumn id="3" xr3:uid="{B7DAE7B2-3615-4CAC-A05A-9CE35CF09855}" name="Modulo"/>
    <tableColumn id="4" xr3:uid="{EFCF84E5-1B9D-4E2C-AD60-9F8B494494FD}" name="Valor Total"/>
    <tableColumn id="7" xr3:uid="{2D2DC407-A621-467F-8BBE-34ED912B45D3}" name="Forma de Pago"/>
    <tableColumn id="11" xr3:uid="{4338AABF-2E03-49E0-8F5F-9A50094BCD17}" name="Estado"/>
    <tableColumn id="8" xr3:uid="{8693AF66-4AB6-4B15-BAC8-08EF7AF10FCA}" name="Obsevaciones"/>
    <tableColumn id="10" xr3:uid="{C75E9CE9-A1AE-41B3-943C-8E11700A503A}" name="URLS"/>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C66BE30-6FD9-46FA-8E39-171C3F310018}" name="Tabla36" displayName="Tabla36" ref="A4:I10" totalsRowShown="0" headerRowDxfId="33">
  <autoFilter ref="A4:I10" xr:uid="{0F08A02B-59D0-4D44-A469-75F38D8D771F}"/>
  <tableColumns count="9">
    <tableColumn id="1" xr3:uid="{1C1519AA-E22F-4C7E-91E0-149E8189DBF1}" name="Cotización"/>
    <tableColumn id="2" xr3:uid="{90604A76-F80E-44C5-84A6-7238970C78FC}" name="Proveedor"/>
    <tableColumn id="3" xr3:uid="{4C24C0D5-6EB9-4D11-8786-E24258C32B61}" name="URL (Datos de la empresa )"/>
    <tableColumn id="9" xr3:uid="{16A672DD-47BF-41D1-BFB1-9E70D9A3140E}" name="Descripcion"/>
    <tableColumn id="4" xr3:uid="{2904D03E-F1B4-4E01-AA19-46C97DB15E50}" name="Valor Total"/>
    <tableColumn id="5" xr3:uid="{B632BA0C-6769-48FC-ABEF-FD5CB8422689}" name="IVA Incluido" dataDxfId="32">
      <calculatedColumnFormula>Tabla36[[#This Row],[Valor Total]]*19%</calculatedColumnFormula>
    </tableColumn>
    <tableColumn id="6" xr3:uid="{495FEFBD-93BA-4ED3-BF2F-3D2AF9CB7A63}" name="Valor Total2" dataDxfId="31">
      <calculatedColumnFormula>Tabla36[[#This Row],[Valor Total]]+Tabla36[[#This Row],[IVA Incluido]]</calculatedColumnFormula>
    </tableColumn>
    <tableColumn id="7" xr3:uid="{7A434649-89F2-4284-A68B-EA07D3C78B8E}" name="Forma de Pago"/>
    <tableColumn id="8" xr3:uid="{C048C2F0-4FEF-4C3A-89F8-D88A84D091C1}" name="Obsevaciones"/>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350D1E1-CAF6-4782-BC26-373478C1D0F7}" name="Tabla3678" displayName="Tabla3678" ref="A4:F8" totalsRowShown="0" headerRowDxfId="30">
  <autoFilter ref="A4:F8" xr:uid="{0F08A02B-59D0-4D44-A469-75F38D8D771F}"/>
  <tableColumns count="6">
    <tableColumn id="1" xr3:uid="{F85C4848-451E-4D6E-89ED-9C5AC6704773}" name="Cotización"/>
    <tableColumn id="2" xr3:uid="{C96507EC-3C28-47FA-B644-D85CD2DD9CAD}" name="Proveedor"/>
    <tableColumn id="3" xr3:uid="{98793D6B-3237-493F-99F8-4518DE58C77F}" name="Descripcion"/>
    <tableColumn id="6" xr3:uid="{4A4C03FF-23CB-47E5-AAC6-1D1D36AB46FD}" name="Valor Total"/>
    <tableColumn id="4" xr3:uid="{D717C1DC-EAEE-4A14-91B1-E7297F46213C}" name="Observaciones"/>
    <tableColumn id="8" xr3:uid="{3E17B0DC-0C2C-4B19-8984-7752B64575FC}" name="Obsevaciones"/>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6AA2C5E-DFEB-4D01-84A6-4A205B53807A}" name="Tabla367" displayName="Tabla367" ref="A4:I11" totalsRowShown="0" headerRowDxfId="29">
  <autoFilter ref="A4:I11" xr:uid="{0F08A02B-59D0-4D44-A469-75F38D8D771F}"/>
  <tableColumns count="9">
    <tableColumn id="1" xr3:uid="{636216AF-37B8-4B33-96B1-1204D964DB35}" name="Cotización"/>
    <tableColumn id="2" xr3:uid="{654DB3A8-DDC0-49BC-AD94-3F5E849A68FC}" name="Proveedor"/>
    <tableColumn id="9" xr3:uid="{99619CF5-6661-494B-A032-143B690A948E}" name="URL (Datos de la empresa)"/>
    <tableColumn id="3" xr3:uid="{5FBD48EE-6D39-486C-B484-0AFFFC41F631}" name="Descripcion"/>
    <tableColumn id="4" xr3:uid="{36B53737-752B-4C94-B2E9-F402AB54F2A7}" name="Valor Total"/>
    <tableColumn id="5" xr3:uid="{1E8D7BDC-DD93-42C5-8E16-066821BEABE4}" name="IVA Incluido" dataDxfId="28">
      <calculatedColumnFormula>Tabla367[[#This Row],[Valor Total]]*19%</calculatedColumnFormula>
    </tableColumn>
    <tableColumn id="6" xr3:uid="{CACF4577-7DC8-4D2D-A236-BCFD2B194D8F}" name="Valor Total2" dataDxfId="27">
      <calculatedColumnFormula>Tabla367[[#This Row],[Valor Total]] + Tabla367[[#This Row],[IVA Incluido]]</calculatedColumnFormula>
    </tableColumn>
    <tableColumn id="7" xr3:uid="{D4A441E9-7DFD-485D-9A71-AEA523368097}" name="Forma de Pago"/>
    <tableColumn id="8" xr3:uid="{069E4068-E287-4054-ADA5-9552CA85ACDA}" name="Obsevaciones"/>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7DD5148-BE17-4362-BCB5-259EC6C554C2}" name="Tabla36789" displayName="Tabla36789" ref="A4:I11" totalsRowShown="0" headerRowDxfId="26">
  <autoFilter ref="A4:I11" xr:uid="{0F08A02B-59D0-4D44-A469-75F38D8D771F}"/>
  <tableColumns count="9">
    <tableColumn id="1" xr3:uid="{8BFCB4CC-A1EB-4A99-95D8-FA10B7344560}" name="Cotización"/>
    <tableColumn id="2" xr3:uid="{961B70E4-8E21-44DA-812C-31E5ED94F40A}" name="Proveedor"/>
    <tableColumn id="9" xr3:uid="{28A871A9-A5EB-4CDF-9064-DF4B5F4EB0A6}" name="URL (Datos de la empresa)"/>
    <tableColumn id="3" xr3:uid="{83A182FF-A02B-4CD3-ADE6-443EE5E87351}" name="Descripcion"/>
    <tableColumn id="4" xr3:uid="{5097BDA9-144E-4D85-B332-49A35807DA6B}" name="Valor Total"/>
    <tableColumn id="5" xr3:uid="{84487AFD-2567-4D39-902B-B3D4634CBBA6}" name="IVA Incluido" dataDxfId="25">
      <calculatedColumnFormula>Tabla36789[[#This Row],[Valor Total]] * 19%</calculatedColumnFormula>
    </tableColumn>
    <tableColumn id="6" xr3:uid="{75E565F9-D21E-4EA7-9E35-ECF358D29649}" name="Valor Total2" dataDxfId="24">
      <calculatedColumnFormula>Tabla36789[[#This Row],[Valor Total]] + Tabla36789[[#This Row],[IVA Incluido]]</calculatedColumnFormula>
    </tableColumn>
    <tableColumn id="7" xr3:uid="{6143907C-74DB-494E-8FE8-BE072D9E0E07}" name="Forma de Pago"/>
    <tableColumn id="8" xr3:uid="{26A44409-F19E-474F-97DC-63ACEB42D4B8}" name="Obsevaciones"/>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A2068AD-5F99-4239-86B1-9748B8195624}" name="Tabla3678910" displayName="Tabla3678910" ref="A4:I8" totalsRowShown="0" headerRowDxfId="23">
  <autoFilter ref="A4:I8" xr:uid="{0F08A02B-59D0-4D44-A469-75F38D8D771F}"/>
  <tableColumns count="9">
    <tableColumn id="1" xr3:uid="{53903500-CE3F-4178-8663-6FAF27DECAEB}" name="Cotización"/>
    <tableColumn id="2" xr3:uid="{D54AF1AC-B322-465E-B10A-814668947DC3}" name="Proveedor"/>
    <tableColumn id="9" xr3:uid="{839B251D-F96E-4474-9872-1852AA4789F6}" name="URL (Datos de la empresa)"/>
    <tableColumn id="3" xr3:uid="{63E3BBDD-B264-49E9-8A2B-30BF6827BAFC}" name="Descripcion"/>
    <tableColumn id="4" xr3:uid="{5C1BD59F-FF17-4E5E-B242-CD874F38D3D0}" name="Valor Total"/>
    <tableColumn id="5" xr3:uid="{6308AAEB-FA0D-4072-91B9-95BE6E57065A}" name="IVA Incluido" dataDxfId="22">
      <calculatedColumnFormula>Tabla3678910[[#This Row],[Valor Total]]*19%</calculatedColumnFormula>
    </tableColumn>
    <tableColumn id="6" xr3:uid="{A5C57424-824A-4267-898C-478179CAFBD1}" name="Valor Total2" dataDxfId="21">
      <calculatedColumnFormula>Tabla3678910[[#This Row],[Valor Total]] + Tabla3678910[[#This Row],[IVA Incluido]]</calculatedColumnFormula>
    </tableColumn>
    <tableColumn id="7" xr3:uid="{781F747E-5E70-4960-BC0A-ADE0FFDD916B}" name="Forma de Pago"/>
    <tableColumn id="8" xr3:uid="{33D11E93-91AE-4E14-9777-49D82CB6FB79}" name="Obsevaciones"/>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C7B31C8-78FA-4C36-AD30-DE3E167FF570}" name="Tabla367891011" displayName="Tabla367891011" ref="A4:I12" totalsRowShown="0" headerRowDxfId="20">
  <autoFilter ref="A4:I12" xr:uid="{0F08A02B-59D0-4D44-A469-75F38D8D771F}"/>
  <tableColumns count="9">
    <tableColumn id="1" xr3:uid="{45AF9AEA-93C7-4850-A4DB-458D034B31BE}" name="Cotización"/>
    <tableColumn id="2" xr3:uid="{07894119-E915-4103-A3F1-068087CC07B7}" name="Proveedor"/>
    <tableColumn id="9" xr3:uid="{8B602FB2-90DA-4301-98AC-B088FAF2ED92}" name="URL (Datos de la empresa)"/>
    <tableColumn id="3" xr3:uid="{02C58BFF-B6BB-4A3E-816D-A6D4EA135036}" name="Descripcion"/>
    <tableColumn id="4" xr3:uid="{CDA59DB3-757B-44DA-9717-C170E47DE7D6}" name="Valor Total"/>
    <tableColumn id="5" xr3:uid="{FCA440E2-43E7-4E5E-A748-F18E24D6A5D3}" name="IVA Incluido" dataDxfId="19">
      <calculatedColumnFormula>Tabla367891011[[#This Row],[Valor Total]]*19%</calculatedColumnFormula>
    </tableColumn>
    <tableColumn id="6" xr3:uid="{E611C963-A698-4434-B9A9-E606474012EC}" name="Valor Total2" dataDxfId="18">
      <calculatedColumnFormula>Tabla367891011[[#This Row],[Valor Total]]+Tabla367891011[[#This Row],[IVA Incluido]]</calculatedColumnFormula>
    </tableColumn>
    <tableColumn id="7" xr3:uid="{5D827567-5DF7-40F2-A5E0-07829FEC9937}" name="Forma de Pago"/>
    <tableColumn id="8" xr3:uid="{C153D59D-4F17-48D3-87BE-1F2676425CB5}" name="Obsevaciones"/>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FF7ED2-2359-4C1A-9107-6C959E6E6139}" name="Tabla3678910113" displayName="Tabla3678910113" ref="A4:I12" totalsRowShown="0" headerRowDxfId="17">
  <autoFilter ref="A4:I12" xr:uid="{0F08A02B-59D0-4D44-A469-75F38D8D771F}"/>
  <tableColumns count="9">
    <tableColumn id="1" xr3:uid="{869B1129-1D9A-414D-9085-8264149E596E}" name="Cotización"/>
    <tableColumn id="2" xr3:uid="{EE44AF10-995D-4D5B-AEFC-17133FC99CCA}" name="Proveedor"/>
    <tableColumn id="9" xr3:uid="{A8C43CF8-BDDC-4CE6-B6D1-AAD19624EB8A}" name="URL (Datos de la empresa)"/>
    <tableColumn id="3" xr3:uid="{9951D223-7F39-46D4-A5B6-F7228C2925D0}" name="Descripcion"/>
    <tableColumn id="4" xr3:uid="{2F25CC9A-D7B1-4450-BD16-98855CA9B016}" name="Valor Total"/>
    <tableColumn id="5" xr3:uid="{5B12F5FD-C3A5-4A2B-AFC7-DCFB1B6A303F}" name="IVA Incluido" dataDxfId="16">
      <calculatedColumnFormula>Tabla3678910113[[#This Row],[Valor Total]]*19%</calculatedColumnFormula>
    </tableColumn>
    <tableColumn id="6" xr3:uid="{400DAA57-EAFB-4E96-81B0-3E92B4C3B5E4}" name="Valor Total2" dataDxfId="15">
      <calculatedColumnFormula>Tabla3678910113[[#This Row],[Valor Total]]+Tabla3678910113[[#This Row],[IVA Incluido]]</calculatedColumnFormula>
    </tableColumn>
    <tableColumn id="7" xr3:uid="{547336D6-7D04-458F-869F-892E7F60F81A}" name="Forma de Pago"/>
    <tableColumn id="8" xr3:uid="{D8561629-162A-476E-9CA0-461D21E43FF3}" name="Obsevaciones"/>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9777B5-CD52-47BA-930D-AE7B844B83B9}" name="Tabla32" displayName="Tabla32" ref="A4:E11" totalsRowShown="0" headerRowDxfId="14">
  <autoFilter ref="A4:E11" xr:uid="{0F08A02B-59D0-4D44-A469-75F38D8D771F}"/>
  <tableColumns count="5">
    <tableColumn id="1" xr3:uid="{21710497-0AD8-47BB-A047-EE3C14D8FF11}" name="Cotización"/>
    <tableColumn id="9" xr3:uid="{37AFCC46-B50A-4596-BFF8-5CCE6400ED5D}" name="Tiempo estimado(Horas)"/>
    <tableColumn id="4" xr3:uid="{E580490B-5CD8-47C7-84D4-85B304AEFF4A}" name="Valor Unitario (Hora)"/>
    <tableColumn id="6" xr3:uid="{A3B4FB1C-3902-49E3-8FD2-ACDC6C6A85C6}" name="Valor Total"/>
    <tableColumn id="2" xr3:uid="{4774D7F5-7022-4BC5-A3BB-BB74553E6546}" name="Alcance servicio"/>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2D12C51-8E3D-4D85-9E73-9CFA51824B2A}" name="Tabla3212" displayName="Tabla3212" ref="A4:D11" totalsRowShown="0" headerRowDxfId="13">
  <autoFilter ref="A4:D11" xr:uid="{0F08A02B-59D0-4D44-A469-75F38D8D771F}"/>
  <tableColumns count="4">
    <tableColumn id="1" xr3:uid="{D2B29C06-ADAB-4D91-8759-4C7EE8565420}" name="Cotización"/>
    <tableColumn id="9" xr3:uid="{97AFBFFA-A46F-411F-9EDB-E56B5C60DA11}" name="Horas de desarrollo"/>
    <tableColumn id="4" xr3:uid="{CCBEC118-40BB-4304-8435-1E25BC776A6F}" name="Valor Unitario (Hora)"/>
    <tableColumn id="6" xr3:uid="{5D9A41A4-AC6B-498C-8429-406771AA5349}" name="Valor Total"/>
  </tableColumns>
  <tableStyleInfo name="TableStyleMedium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F608CA5-AB1A-402D-81A9-BDF92953F723}" name="Tabla3615" displayName="Tabla3615" ref="A4:J11" totalsRowShown="0" headerRowDxfId="12">
  <autoFilter ref="A4:J11" xr:uid="{0F08A02B-59D0-4D44-A469-75F38D8D771F}"/>
  <tableColumns count="10">
    <tableColumn id="1" xr3:uid="{BB2D6E76-BB4F-477B-BBC9-5C6F7E5EC173}" name="Cotización"/>
    <tableColumn id="2" xr3:uid="{B62C4BD4-E8D9-4CEB-912B-23838CEFA437}" name="Responsabilidades "/>
    <tableColumn id="3" xr3:uid="{56B75FB5-D6BD-4582-8261-7554C5610D07}" name="URL (Datos de la empresa )"/>
    <tableColumn id="4" xr3:uid="{165D2E59-AF62-4700-88BC-9968426C589A}" name="Sueldo mensual"/>
    <tableColumn id="5" xr3:uid="{2E600FEA-F478-4E7D-B10B-B91FE1FFEB17}" name="IVA Incluido" dataDxfId="11">
      <calculatedColumnFormula>Tabla3615[[#This Row],[Sueldo mensual]]*19%</calculatedColumnFormula>
    </tableColumn>
    <tableColumn id="6" xr3:uid="{C058F681-F064-43A0-95A0-ADD634C306DF}" name="Valor Total2" dataDxfId="10">
      <calculatedColumnFormula>Tabla3615[[#This Row],[Sueldo mensual]]+Tabla3615[[#This Row],[IVA Incluido]]</calculatedColumnFormula>
    </tableColumn>
    <tableColumn id="7" xr3:uid="{A9D238F9-64DF-4C73-A4B6-395926F6B76A}" name="Forma de Pago"/>
    <tableColumn id="8" xr3:uid="{A9359FF9-91B7-484F-9B1C-134AC59A4F10}" name="Trabajo (Horas)"/>
    <tableColumn id="9" xr3:uid="{EFE08797-6A8D-4C29-BB5C-213E7130DC93}" name="Costo(Hora)" dataDxfId="9"/>
    <tableColumn id="10" xr3:uid="{92C255EE-EA34-4BF5-AB35-C91941586811}" name="Costo(Hora)2" dataDxfId="8">
      <calculatedColumnFormula>Tabla3615[[#This Row],[Costo(Hora)]]*Tabla3615[[#This Row],[Trabajo (Horas)]]</calculatedColumnFormula>
    </tableColumn>
  </tableColumns>
  <tableStyleInfo name="TableStyleMedium15"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F9FC1D2-6EA9-4AC3-A7CD-7FBF6319E62C}" name="Tabla361517" displayName="Tabla361517" ref="A4:I12" totalsRowShown="0" headerRowDxfId="7">
  <autoFilter ref="A4:I12" xr:uid="{0F08A02B-59D0-4D44-A469-75F38D8D771F}"/>
  <tableColumns count="9">
    <tableColumn id="1" xr3:uid="{469D8E2A-91DB-4B6F-890D-7A85A5F0E8F3}" name="Cotización"/>
    <tableColumn id="2" xr3:uid="{0D9F36FE-C1B1-4D36-9CEA-26252958D058}" name="Descripción"/>
    <tableColumn id="3" xr3:uid="{61BF93CF-8D2D-43B1-811E-5036FD212240}" name="URL (Datos del proveedor )"/>
    <tableColumn id="4" xr3:uid="{0EE8C5A0-B6AC-40A2-A33F-EFEB7AA7ACD7}" name="Costo alquiler(Horas)"/>
    <tableColumn id="5" xr3:uid="{15ECFB91-EED1-4660-9D34-C32D529E4018}" name="IVA Incluido" dataDxfId="6">
      <calculatedColumnFormula>Tabla361517[[#This Row],[Costo alquiler(Horas)]]*19%</calculatedColumnFormula>
    </tableColumn>
    <tableColumn id="6" xr3:uid="{25D52459-4D76-4641-B9FF-1BA176828FD5}" name="Valor Total2" dataDxfId="5">
      <calculatedColumnFormula>Tabla361517[[#This Row],[Costo alquiler(Horas)]]+Tabla361517[[#This Row],[IVA Incluido]]</calculatedColumnFormula>
    </tableColumn>
    <tableColumn id="7" xr3:uid="{53B22B2E-D49C-4AB2-98F5-9D402C892A48}" name="Forma de Pago"/>
    <tableColumn id="8" xr3:uid="{D08F5604-8BE7-4700-BE8F-83B8BB46EC17}" name="Uso Estimado(Horas)"/>
    <tableColumn id="10" xr3:uid="{4C1F259E-3A8A-4859-B17B-EA913DB85613}" name="Costo(Hora)2" dataDxfId="4">
      <calculatedColumnFormula>#REF!*Tabla361517[[#This Row],[Uso Estimado(Horas)]]</calculatedColumnFormula>
    </tableColumn>
  </tableColumns>
  <tableStyleInfo name="TableStyleMedium15"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A5CD6A6-66AD-4CD7-AA2E-57E3391DD0A3}" name="Tabla361516" displayName="Tabla361516" ref="A4:E18" totalsRowShown="0" headerRowDxfId="3">
  <autoFilter ref="A4:E18" xr:uid="{0F08A02B-59D0-4D44-A469-75F38D8D771F}"/>
  <tableColumns count="5">
    <tableColumn id="1" xr3:uid="{DA34FC66-8F0C-46FC-90B5-E2523A0C3FEF}" name="Concepto"/>
    <tableColumn id="4" xr3:uid="{FAFAA6E5-33F0-4901-BA5A-19CA74F62C8F}" name="Costo" dataDxfId="2"/>
    <tableColumn id="5" xr3:uid="{2B765529-29F2-4CEF-8710-267E65B26D80}" name="IVA Incluido" dataDxfId="1">
      <calculatedColumnFormula>Tabla361516[[#This Row],[Costo]]*19%</calculatedColumnFormula>
    </tableColumn>
    <tableColumn id="6" xr3:uid="{8E3583A0-AF95-4848-86B9-74C8896630C0}" name="Valor Total2" dataDxfId="0">
      <calculatedColumnFormula>Tabla361516[[#This Row],[Costo]]+Tabla361516[[#This Row],[IVA Incluido]]</calculatedColumnFormula>
    </tableColumn>
    <tableColumn id="7" xr3:uid="{0D90D8DB-BE84-436E-B437-51228006445E}" name="Forma de Pago"/>
  </tableColumns>
  <tableStyleInfo name="TableStyleMedium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ystorecolombia.com/torre/389-servidor-lenovo-st50-v2-xeon-e2324g-16gb-2tb-7d8ka00ala.html" TargetMode="External"/><Relationship Id="rId1" Type="http://schemas.openxmlformats.org/officeDocument/2006/relationships/hyperlink" Target="https://tiendalenovomedellin.com/products/servidor-dell-poweredge-t40-xeon-e3-2224g?srsltid=AfmBOopmMFn7a-tb0M4POwNjXI27LKDzUBUrvznDq6uxzHfdGVEBsdXX&amp;utm_source=chatgpt.com"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mercadolibre.com.co/portatil-asus-vivobook-e1504ga-core-i3-n305-ram-8gb-512gb-color-gris/p/MCO51203431" TargetMode="External"/><Relationship Id="rId3" Type="http://schemas.openxmlformats.org/officeDocument/2006/relationships/hyperlink" Target="https://www.mercadolibre.com.co/portatil-lenovo-v14-core-i5-13420h-24gb-512gb-ssd-color-negro/p/MCO44279796?product_trigger_id=MCO44291281&amp;picker=true" TargetMode="External"/><Relationship Id="rId7" Type="http://schemas.openxmlformats.org/officeDocument/2006/relationships/hyperlink" Target="https://www.mercadolibre.com.co/portatil-asus-vivobook-e1504ga-core-i3-n305-ram-8gb-512gb-color-gris/p/MCO51203431" TargetMode="External"/><Relationship Id="rId2" Type="http://schemas.openxmlformats.org/officeDocument/2006/relationships/hyperlink" Target="https://www.alkosto.com/computador-all-in-one-lenovo-ideacentre-aio-27-pulgadas/p/198155085390" TargetMode="External"/><Relationship Id="rId1" Type="http://schemas.openxmlformats.org/officeDocument/2006/relationships/hyperlink" Target="https://www.alkosto.com/computador-all-in-one-lenovo-ideacentre-aio-27-pulgadas/p/198153841134" TargetMode="External"/><Relationship Id="rId6" Type="http://schemas.openxmlformats.org/officeDocument/2006/relationships/hyperlink" Target="https://www.mercadolibre.com.co/portatil-lenovo-v14-core-i5-13420h-24gb-512gb-ssd-color-negro/p/MCO44279796?product_trigger_id=MCO44291281&amp;picker=true" TargetMode="External"/><Relationship Id="rId11" Type="http://schemas.openxmlformats.org/officeDocument/2006/relationships/table" Target="../tables/table2.xml"/><Relationship Id="rId5" Type="http://schemas.openxmlformats.org/officeDocument/2006/relationships/hyperlink" Target="https://www.ktronix.com/computador-portatil-hp-probook-156-pulgadas-pb450-g10/p/198828758040" TargetMode="External"/><Relationship Id="rId10" Type="http://schemas.openxmlformats.org/officeDocument/2006/relationships/printerSettings" Target="../printerSettings/printerSettings2.bin"/><Relationship Id="rId4" Type="http://schemas.openxmlformats.org/officeDocument/2006/relationships/hyperlink" Target="https://www.ktronix.com/computador-portatil-hp-probook-156-pulgadas-pb450-g10/p/198828758040" TargetMode="External"/><Relationship Id="rId9" Type="http://schemas.openxmlformats.org/officeDocument/2006/relationships/hyperlink" Target="https://www.alkosto.com/computador-all-in-one-lenovo-238-pulgadas-a100-intel-core/p/198156629623"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hostgator.co/dominios" TargetMode="External"/><Relationship Id="rId2" Type="http://schemas.openxmlformats.org/officeDocument/2006/relationships/hyperlink" Target="https://www.hostinger.com/co/comprar-dominio?utm_campaign=Generic-Domains|NT:Se|LO:CO&amp;utm_medium=ppc&amp;gad_source=1&amp;gad_campaignid=10835301752&amp;gbraid=0AAAAADMy-hbjhmU6MB-zZ24oX4lYvKZP0&amp;gclid=EAIaIQobChMI-t2BkP_-kAMVd4VaBR2_Uj0ZEAAYAiAAEgJHFvD_BwE" TargetMode="External"/><Relationship Id="rId1" Type="http://schemas.openxmlformats.org/officeDocument/2006/relationships/hyperlink" Target="https://www.colombiahosting.com.co/registro-dominios" TargetMode="External"/><Relationship Id="rId6" Type="http://schemas.openxmlformats.org/officeDocument/2006/relationships/table" Target="../tables/table3.xml"/><Relationship Id="rId5" Type="http://schemas.openxmlformats.org/officeDocument/2006/relationships/printerSettings" Target="../printerSettings/printerSettings3.bin"/><Relationship Id="rId4" Type="http://schemas.openxmlformats.org/officeDocument/2006/relationships/hyperlink" Target="https://mi.com.co/Dominios"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microsoft.com/es-co/microsoft-365/business/microsoft-365-plans-and-pricing" TargetMode="External"/><Relationship Id="rId1" Type="http://schemas.openxmlformats.org/officeDocument/2006/relationships/hyperlink" Target="https://www.syscaribe.com/producto/microsoft-365-business-premium-suscripcion-1-ano/" TargetMode="Externa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bluehosting.com.co/" TargetMode="External"/><Relationship Id="rId2" Type="http://schemas.openxmlformats.org/officeDocument/2006/relationships/hyperlink" Target="https://www.latinoamericahosting.com.co/hosting/?gad_source=1&amp;gad_campaignid=11605730357&amp;gbraid=0AAAAAByL0_gt1n038ZNZe-XNHYLyWOpts&amp;gclid=EAIaIQobChMIj_6F94r_kAMVtadaBR0s9jQPEAAYASAAEgJug_D_BwE" TargetMode="External"/><Relationship Id="rId1" Type="http://schemas.openxmlformats.org/officeDocument/2006/relationships/hyperlink" Target="https://mi.com.co/hosting" TargetMode="External"/><Relationship Id="rId6" Type="http://schemas.openxmlformats.org/officeDocument/2006/relationships/table" Target="../tables/table5.xml"/><Relationship Id="rId5" Type="http://schemas.openxmlformats.org/officeDocument/2006/relationships/printerSettings" Target="../printerSettings/printerSettings5.bin"/><Relationship Id="rId4" Type="http://schemas.openxmlformats.org/officeDocument/2006/relationships/hyperlink" Target="https://www.colombiahosting.com.co/hosting"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www.olimpica.com/windows-11-pro-1-dispositivo-1002383543/p?idsku=1100208090" TargetMode="External"/><Relationship Id="rId2" Type="http://schemas.openxmlformats.org/officeDocument/2006/relationships/hyperlink" Target="https://tulicencias.com/product/windows-11-pro/?currency=COP&amp;srsltid=AfmBOooFL0vqHP1Vf4LOoTxFJ8Vap6vXkePu7CMm2jAfip2uDJcHj8Z_d3s" TargetMode="External"/><Relationship Id="rId1" Type="http://schemas.openxmlformats.org/officeDocument/2006/relationships/hyperlink" Target="https://buhodigitalcol.com/licencia-windows-11-pro/?srsltid=AfmBOoosj4MAWsyyDo9CcP1SesAbr_09Ga2x1xZZAqndC0GxetbvgJz3sBg" TargetMode="External"/><Relationship Id="rId6" Type="http://schemas.openxmlformats.org/officeDocument/2006/relationships/table" Target="../tables/table6.xml"/><Relationship Id="rId5" Type="http://schemas.openxmlformats.org/officeDocument/2006/relationships/printerSettings" Target="../printerSettings/printerSettings6.bin"/><Relationship Id="rId4" Type="http://schemas.openxmlformats.org/officeDocument/2006/relationships/hyperlink" Target="https://www.exito.com/windows-11-pro-retail-102325516-mp/p"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3clics.co/index.php/es/otros-softwares/editor-de-codigo/licencia-visual-studio-2022-detail" TargetMode="External"/><Relationship Id="rId2" Type="http://schemas.openxmlformats.org/officeDocument/2006/relationships/hyperlink" Target="http://g2a.com/es/microsoft-visual-studio-2022-enterprise-pc-microsoft-key-global-i10000325952001?___language=es&amp;er=3cf501fcfc436491a2261e5494f1762b3db45ff7b5ae84696b3ada99c163e4856bd1e617e82e2ae014844d8920b833fd&amp;uuid=ab06a8fa-cb54-4101-9de2-7ea433024223&amp;srsltid=AfmBOoqgpuaT5WnkXrAKXR6CqQpRTYA_oBAGb1CeMO54gEfv44_1NccTsE0" TargetMode="External"/><Relationship Id="rId1" Type="http://schemas.openxmlformats.org/officeDocument/2006/relationships/hyperlink" Target="http://revolutionsoft.com.co/programacion/microsoft-visual-studio-2022-professional.html" TargetMode="External"/><Relationship Id="rId6" Type="http://schemas.openxmlformats.org/officeDocument/2006/relationships/table" Target="../tables/table7.xml"/><Relationship Id="rId5" Type="http://schemas.openxmlformats.org/officeDocument/2006/relationships/printerSettings" Target="../printerSettings/printerSettings7.bin"/><Relationship Id="rId4" Type="http://schemas.openxmlformats.org/officeDocument/2006/relationships/hyperlink" Target="https://mrlicencias.com/products/visual-studio-2019-professional?_pos=3&amp;_sid=d22f32169&amp;_ss=r&amp;variant=41274197049522&amp;srsltid=AfmBOooblmN0PYcCKhAYsNhJFWYG6aZlXDNV2M2H2aFvASDCFuG2UidnxH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elenst.com/p/microsoft-sql-server-2022-standard/" TargetMode="External"/><Relationship Id="rId2" Type="http://schemas.openxmlformats.org/officeDocument/2006/relationships/hyperlink" Target="https://www.ebay.com/itm/145519556112?chn=ps&amp;mkevt=1&amp;mkcid=28&amp;google_free_listing_action=view_item" TargetMode="External"/><Relationship Id="rId1" Type="http://schemas.openxmlformats.org/officeDocument/2006/relationships/hyperlink" Target="https://revolutionsoft.com.co/windows-server/sql-server-2022-standard.html" TargetMode="External"/><Relationship Id="rId6" Type="http://schemas.openxmlformats.org/officeDocument/2006/relationships/table" Target="../tables/table8.xml"/><Relationship Id="rId5" Type="http://schemas.openxmlformats.org/officeDocument/2006/relationships/printerSettings" Target="../printerSettings/printerSettings8.bin"/><Relationship Id="rId4" Type="http://schemas.openxmlformats.org/officeDocument/2006/relationships/hyperlink" Target="https://latiendadelaslicencias.com/es/microsoft-sql-server/sql-server-2022-standard.html?utm_source=chatgpt.com"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hyperlink" Target="https://uniq.software/es/windows/servers/windows-server-2022/windows-server-2022-standard" TargetMode="External"/><Relationship Id="rId1" Type="http://schemas.openxmlformats.org/officeDocument/2006/relationships/hyperlink" Target="https://revolutionsoft.com.co/windows-server-2022/licencia-windows-server-2022-standard.html?id_product_attribute=0" TargetMode="Externa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hyperlink" Target="https://co.indeed.com/career/backend-developer/salaries" TargetMode="External"/><Relationship Id="rId7" Type="http://schemas.openxmlformats.org/officeDocument/2006/relationships/table" Target="../tables/table12.xml"/><Relationship Id="rId2" Type="http://schemas.openxmlformats.org/officeDocument/2006/relationships/hyperlink" Target="https://co.indeed.com/career/l%C3%ADder-de-proyectos/salaries" TargetMode="External"/><Relationship Id="rId1" Type="http://schemas.openxmlformats.org/officeDocument/2006/relationships/hyperlink" Target="https://co.indeed.com/career/programador-front-end/salaries" TargetMode="External"/><Relationship Id="rId6" Type="http://schemas.openxmlformats.org/officeDocument/2006/relationships/hyperlink" Target="https://co.indeed.com/career/analista-qa/salaries" TargetMode="External"/><Relationship Id="rId5" Type="http://schemas.openxmlformats.org/officeDocument/2006/relationships/hyperlink" Target="https://co.indeed.com/career/analista-qa/salaries" TargetMode="External"/><Relationship Id="rId4" Type="http://schemas.openxmlformats.org/officeDocument/2006/relationships/hyperlink" Target="https://co.indeed.com/career/analista-qa/salaries"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rentasistemas.com/promocion-portatiles/?gad_source=1&amp;gad_campaignid=22644122367&amp;gbraid=0AAAAADm3cOpC7KPgcwYyO2KCO0R1gRjmi&amp;gclid=Cj0KCQiAiqDJBhCXARIsABk2kSkcN-obVuVAiPLK7ZIuMVjhLfvFV2jxgcbEBxe4gaEUUpqJKX_7OqAaAq6BEALw_wcB" TargetMode="External"/><Relationship Id="rId7" Type="http://schemas.openxmlformats.org/officeDocument/2006/relationships/table" Target="../tables/table13.xml"/><Relationship Id="rId2" Type="http://schemas.openxmlformats.org/officeDocument/2006/relationships/hyperlink" Target="https://co.indeed.com/career/analista-qa/salaries" TargetMode="External"/><Relationship Id="rId1" Type="http://schemas.openxmlformats.org/officeDocument/2006/relationships/hyperlink" Target="https://co.indeed.com/career/analista-qa/salaries" TargetMode="External"/><Relationship Id="rId6" Type="http://schemas.openxmlformats.org/officeDocument/2006/relationships/hyperlink" Target="https://lasus.com.co/es/content/renting-alquiler-computadores?srsltid=AfmBOoo10bxgmR3qnJWs-8afuYU8-J22dCcqxYuUFX5iYbg9M9GbXE8_" TargetMode="External"/><Relationship Id="rId5" Type="http://schemas.openxmlformats.org/officeDocument/2006/relationships/hyperlink" Target="https://www.rentacomputo.com.co/cuanto-cuesta-alquilar-una-computadora-en-bogota/" TargetMode="External"/><Relationship Id="rId4" Type="http://schemas.openxmlformats.org/officeDocument/2006/relationships/hyperlink" Target="https://kcrentas.com.mx/alquiler-de-equipo-de-computo-en-colombia/?gad_source=1&amp;gad_campaignid=21775987673&amp;gbraid=0AAAAAD4oSyN4Kjmpv8B9lH4Efoc4WrWec&amp;gclid=Cj0KCQiAiqDJBhCXARIsABk2kSlTQGeQ0OC0_H3r6xtXj8rAEGFY7YaMCzdBBbRhqrVGSltf6fJ1m7oaAmLYEALw_wcB" TargetMode="Externa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9BFF0-7AB7-407A-99E3-A06DD1CE26EC}">
  <sheetPr>
    <tabColor rgb="FFFF0000"/>
  </sheetPr>
  <dimension ref="A1:K6"/>
  <sheetViews>
    <sheetView workbookViewId="0">
      <selection activeCell="E6" sqref="E6"/>
    </sheetView>
  </sheetViews>
  <sheetFormatPr defaultColWidth="11.42578125" defaultRowHeight="15"/>
  <cols>
    <col min="1" max="5" width="29" customWidth="1"/>
    <col min="6" max="6" width="29" hidden="1" customWidth="1"/>
    <col min="7" max="9" width="29" customWidth="1"/>
  </cols>
  <sheetData>
    <row r="1" spans="1:11" ht="30" customHeight="1">
      <c r="A1" s="39" t="s">
        <v>0</v>
      </c>
      <c r="B1" s="39"/>
      <c r="C1" s="39"/>
      <c r="D1" s="39"/>
      <c r="E1" s="39"/>
      <c r="F1" s="39"/>
      <c r="G1" s="39"/>
      <c r="H1" s="39"/>
      <c r="I1" s="39"/>
      <c r="J1" s="39"/>
      <c r="K1" s="39"/>
    </row>
    <row r="2" spans="1:11" ht="15" customHeight="1">
      <c r="A2" s="40"/>
      <c r="B2" s="40"/>
      <c r="C2" s="40"/>
      <c r="D2" s="40"/>
      <c r="E2" s="40"/>
      <c r="F2" s="40"/>
      <c r="G2" s="40"/>
      <c r="H2" s="40"/>
      <c r="I2" s="40"/>
      <c r="J2" s="40"/>
      <c r="K2" s="40"/>
    </row>
    <row r="4" spans="1:11">
      <c r="A4" s="1" t="s">
        <v>1</v>
      </c>
      <c r="B4" s="1" t="s">
        <v>2</v>
      </c>
      <c r="C4" s="1" t="s">
        <v>3</v>
      </c>
      <c r="D4" s="1" t="s">
        <v>4</v>
      </c>
      <c r="E4" s="1" t="s">
        <v>5</v>
      </c>
      <c r="F4" s="1" t="s">
        <v>6</v>
      </c>
      <c r="G4" s="1" t="s">
        <v>7</v>
      </c>
    </row>
    <row r="5" spans="1:11" ht="59.25" customHeight="1">
      <c r="A5" s="2" t="s">
        <v>8</v>
      </c>
      <c r="B5" s="2" t="s">
        <v>9</v>
      </c>
      <c r="C5" s="2" t="s">
        <v>10</v>
      </c>
      <c r="D5" s="3" t="s">
        <v>11</v>
      </c>
      <c r="E5" s="33" t="s">
        <v>12</v>
      </c>
      <c r="F5" s="2" t="s">
        <v>13</v>
      </c>
      <c r="G5" s="16" t="s">
        <v>14</v>
      </c>
    </row>
    <row r="6" spans="1:11" ht="72.75">
      <c r="A6" s="2" t="s">
        <v>15</v>
      </c>
      <c r="B6" s="2" t="s">
        <v>16</v>
      </c>
      <c r="C6" s="2" t="s">
        <v>17</v>
      </c>
      <c r="D6" s="3" t="s">
        <v>18</v>
      </c>
      <c r="E6" s="33" t="s">
        <v>19</v>
      </c>
      <c r="F6" s="2" t="s">
        <v>13</v>
      </c>
      <c r="G6" s="17" t="s">
        <v>20</v>
      </c>
    </row>
  </sheetData>
  <mergeCells count="1">
    <mergeCell ref="A1:K2"/>
  </mergeCells>
  <phoneticPr fontId="3" type="noConversion"/>
  <hyperlinks>
    <hyperlink ref="G5" r:id="rId1" xr:uid="{F5D68B7C-B32E-41E3-A061-F00C8D57DFC9}"/>
    <hyperlink ref="G6" r:id="rId2" xr:uid="{7FB88589-1044-4530-9722-461570E807A6}"/>
  </hyperlinks>
  <pageMargins left="0.7" right="0.7" top="0.75" bottom="0.75" header="0.3" footer="0.3"/>
  <pageSetup paperSize="9"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8C6D3-F9C2-4D7B-A6E1-5ACF00BC2F81}">
  <sheetPr>
    <tabColor theme="8" tint="-0.249977111117893"/>
  </sheetPr>
  <dimension ref="A1:K14"/>
  <sheetViews>
    <sheetView topLeftCell="B5" workbookViewId="0">
      <selection activeCell="D10" sqref="D10:D13"/>
    </sheetView>
  </sheetViews>
  <sheetFormatPr defaultColWidth="11.42578125" defaultRowHeight="15"/>
  <cols>
    <col min="1" max="2" width="29" customWidth="1"/>
    <col min="3" max="3" width="34.28515625" customWidth="1"/>
    <col min="4" max="4" width="37.140625" customWidth="1"/>
    <col min="5" max="5" width="29" customWidth="1"/>
    <col min="6" max="6" width="13.7109375" hidden="1" customWidth="1"/>
    <col min="7" max="9" width="29" customWidth="1"/>
    <col min="10" max="10" width="39.7109375" customWidth="1"/>
    <col min="11" max="11" width="43.140625" customWidth="1"/>
  </cols>
  <sheetData>
    <row r="1" spans="1:11" ht="30" customHeight="1">
      <c r="A1" s="41" t="s">
        <v>0</v>
      </c>
      <c r="B1" s="41"/>
      <c r="C1" s="41"/>
      <c r="D1" s="41"/>
      <c r="E1" s="41"/>
      <c r="F1" s="41"/>
      <c r="G1" s="41"/>
      <c r="H1" s="41"/>
      <c r="I1" s="41"/>
      <c r="J1" s="41"/>
      <c r="K1" s="41"/>
    </row>
    <row r="2" spans="1:11">
      <c r="A2" s="42"/>
      <c r="B2" s="42"/>
      <c r="C2" s="42"/>
      <c r="D2" s="42"/>
      <c r="E2" s="42"/>
      <c r="F2" s="42"/>
      <c r="G2" s="42"/>
      <c r="H2" s="42"/>
      <c r="I2" s="42"/>
      <c r="J2" s="42"/>
      <c r="K2" s="42"/>
    </row>
    <row r="4" spans="1:11">
      <c r="A4" s="1" t="s">
        <v>1</v>
      </c>
      <c r="B4" s="1" t="s">
        <v>3</v>
      </c>
      <c r="C4" s="1" t="s">
        <v>4</v>
      </c>
      <c r="D4" s="1" t="s">
        <v>21</v>
      </c>
      <c r="E4" s="1" t="s">
        <v>5</v>
      </c>
      <c r="F4" s="1" t="s">
        <v>6</v>
      </c>
      <c r="G4" s="1" t="s">
        <v>22</v>
      </c>
      <c r="H4" s="1" t="s">
        <v>7</v>
      </c>
      <c r="I4" s="1" t="s">
        <v>23</v>
      </c>
      <c r="K4" s="5"/>
    </row>
    <row r="5" spans="1:11" ht="36" customHeight="1">
      <c r="A5" s="1" t="s">
        <v>24</v>
      </c>
      <c r="B5" s="2" t="s">
        <v>25</v>
      </c>
      <c r="C5" s="3" t="s">
        <v>26</v>
      </c>
      <c r="D5" s="2" t="s">
        <v>27</v>
      </c>
      <c r="E5" s="18">
        <v>3999070</v>
      </c>
      <c r="F5" s="2" t="s">
        <v>28</v>
      </c>
      <c r="G5" s="2" t="s">
        <v>29</v>
      </c>
      <c r="H5" s="3" t="s">
        <v>30</v>
      </c>
      <c r="I5" s="10" t="s">
        <v>31</v>
      </c>
    </row>
    <row r="6" spans="1:11" ht="39" customHeight="1">
      <c r="A6" s="1" t="s">
        <v>32</v>
      </c>
      <c r="B6" s="2" t="s">
        <v>25</v>
      </c>
      <c r="C6" s="3" t="s">
        <v>26</v>
      </c>
      <c r="D6" s="3" t="s">
        <v>33</v>
      </c>
      <c r="E6" s="18">
        <v>2199070</v>
      </c>
      <c r="F6" s="2" t="s">
        <v>28</v>
      </c>
      <c r="G6" s="2" t="s">
        <v>29</v>
      </c>
      <c r="H6" s="3" t="s">
        <v>34</v>
      </c>
      <c r="I6" s="10" t="s">
        <v>35</v>
      </c>
    </row>
    <row r="7" spans="1:11" ht="38.25" customHeight="1">
      <c r="A7" s="2" t="s">
        <v>36</v>
      </c>
      <c r="B7" s="2" t="s">
        <v>37</v>
      </c>
      <c r="C7" s="2" t="s">
        <v>38</v>
      </c>
      <c r="D7" s="2" t="s">
        <v>39</v>
      </c>
      <c r="E7" s="18">
        <v>1299000</v>
      </c>
      <c r="F7" s="2" t="s">
        <v>28</v>
      </c>
      <c r="G7" s="2" t="s">
        <v>29</v>
      </c>
      <c r="H7" s="3" t="s">
        <v>40</v>
      </c>
      <c r="I7" s="6" t="s">
        <v>41</v>
      </c>
    </row>
    <row r="8" spans="1:11" ht="57.75">
      <c r="A8" s="1" t="s">
        <v>42</v>
      </c>
      <c r="B8" s="2" t="s">
        <v>25</v>
      </c>
      <c r="C8" s="2" t="s">
        <v>43</v>
      </c>
      <c r="D8" s="2" t="s">
        <v>44</v>
      </c>
      <c r="E8" s="18">
        <v>1799070</v>
      </c>
      <c r="F8" s="2" t="s">
        <v>28</v>
      </c>
      <c r="G8" s="2" t="s">
        <v>29</v>
      </c>
      <c r="H8" s="3" t="s">
        <v>45</v>
      </c>
      <c r="I8" s="6" t="s">
        <v>46</v>
      </c>
    </row>
    <row r="9" spans="1:11" ht="30" customHeight="1">
      <c r="A9" s="2" t="s">
        <v>47</v>
      </c>
      <c r="B9" s="2" t="s">
        <v>37</v>
      </c>
      <c r="C9" s="2" t="s">
        <v>38</v>
      </c>
      <c r="D9" s="2" t="s">
        <v>48</v>
      </c>
      <c r="E9" s="18">
        <v>1299000</v>
      </c>
      <c r="F9" s="2" t="s">
        <v>28</v>
      </c>
      <c r="G9" s="2" t="s">
        <v>29</v>
      </c>
      <c r="H9" s="3" t="s">
        <v>40</v>
      </c>
      <c r="I9" s="6" t="s">
        <v>41</v>
      </c>
    </row>
    <row r="10" spans="1:11" ht="35.25" customHeight="1">
      <c r="A10" s="2" t="s">
        <v>49</v>
      </c>
      <c r="B10" s="2" t="s">
        <v>37</v>
      </c>
      <c r="C10" s="3" t="s">
        <v>50</v>
      </c>
      <c r="D10" s="37" t="s">
        <v>51</v>
      </c>
      <c r="E10" s="18">
        <v>1799900</v>
      </c>
      <c r="F10" s="2" t="s">
        <v>28</v>
      </c>
      <c r="G10" s="2" t="s">
        <v>29</v>
      </c>
      <c r="H10" s="3" t="s">
        <v>52</v>
      </c>
      <c r="I10" s="10" t="s">
        <v>53</v>
      </c>
    </row>
    <row r="11" spans="1:11" ht="30" customHeight="1">
      <c r="A11" s="2" t="s">
        <v>54</v>
      </c>
      <c r="B11" s="2" t="s">
        <v>55</v>
      </c>
      <c r="C11" s="2" t="s">
        <v>56</v>
      </c>
      <c r="D11" s="38" t="s">
        <v>57</v>
      </c>
      <c r="E11" s="18">
        <v>5809030</v>
      </c>
      <c r="F11" s="2" t="s">
        <v>28</v>
      </c>
      <c r="G11" s="2" t="s">
        <v>29</v>
      </c>
      <c r="H11" s="5" t="s">
        <v>58</v>
      </c>
      <c r="I11" s="6" t="s">
        <v>59</v>
      </c>
    </row>
    <row r="12" spans="1:11" ht="30.75" customHeight="1">
      <c r="A12" s="1" t="s">
        <v>60</v>
      </c>
      <c r="B12" s="2" t="s">
        <v>55</v>
      </c>
      <c r="C12" s="2" t="s">
        <v>56</v>
      </c>
      <c r="D12" s="38" t="s">
        <v>61</v>
      </c>
      <c r="E12" s="18">
        <v>5809030</v>
      </c>
      <c r="F12" s="2" t="s">
        <v>28</v>
      </c>
      <c r="G12" s="2" t="s">
        <v>29</v>
      </c>
      <c r="H12" s="5" t="s">
        <v>58</v>
      </c>
      <c r="I12" s="6" t="s">
        <v>59</v>
      </c>
    </row>
    <row r="13" spans="1:11" ht="41.25" customHeight="1">
      <c r="A13" s="2" t="s">
        <v>62</v>
      </c>
      <c r="B13" s="3" t="s">
        <v>37</v>
      </c>
      <c r="C13" s="3" t="s">
        <v>50</v>
      </c>
      <c r="D13" s="38" t="s">
        <v>63</v>
      </c>
      <c r="E13" s="18">
        <v>1799900</v>
      </c>
      <c r="F13" s="2" t="s">
        <v>28</v>
      </c>
      <c r="G13" s="2" t="s">
        <v>29</v>
      </c>
      <c r="H13" s="3" t="s">
        <v>52</v>
      </c>
      <c r="I13" s="6" t="s">
        <v>53</v>
      </c>
    </row>
    <row r="14" spans="1:11">
      <c r="E14" s="18"/>
    </row>
  </sheetData>
  <mergeCells count="1">
    <mergeCell ref="A1:K2"/>
  </mergeCells>
  <hyperlinks>
    <hyperlink ref="I5" r:id="rId1" xr:uid="{27E5F745-0ACF-4DF7-B896-D850E75B5F2F}"/>
    <hyperlink ref="I6" r:id="rId2" xr:uid="{EFF7C287-1208-44AE-A26A-1D4609355496}"/>
    <hyperlink ref="I10" r:id="rId3" xr:uid="{613EDA3E-81E1-4FC2-A640-DB58993A9996}"/>
    <hyperlink ref="I11" r:id="rId4" xr:uid="{05430796-C05C-4512-BC96-073726A1279C}"/>
    <hyperlink ref="I12" r:id="rId5" xr:uid="{34CC89B3-3839-4896-BC26-B23F6D4B913C}"/>
    <hyperlink ref="I13" r:id="rId6" xr:uid="{EFEFB5D2-8C03-4BE8-92F8-80E83A1C2DCA}"/>
    <hyperlink ref="I7" r:id="rId7" location="polycard_client=search-nordic&amp;search_layout=stack&amp;position=3&amp;type=product&amp;tracking_id=fd9a58a6-78d1-4232-98d0-5133b59c83a0&amp;wid=MCO2953509182&amp;sid=search" display="https://www.mercadolibre.com.co/portatil-asus-vivobook-e1504ga-core-i3-n305-ram-8gb-512gb-color-gris/p/MCO51203431#polycard_client=search-nordic&amp;search_layout=stack&amp;position=3&amp;type=product&amp;tracking_id=fd9a58a6-78d1-4232-98d0-5133b59c83a0&amp;wid=MCO2953509182&amp;sid=search" xr:uid="{FA120F60-B3AA-4AA9-B523-95D667695DC1}"/>
    <hyperlink ref="I9" r:id="rId8" location="polycard_client=search-nordic&amp;search_layout=stack&amp;position=3&amp;type=product&amp;tracking_id=fd9a58a6-78d1-4232-98d0-5133b59c83a0&amp;wid=MCO2953509182&amp;sid=search" display="https://www.mercadolibre.com.co/portatil-asus-vivobook-e1504ga-core-i3-n305-ram-8gb-512gb-color-gris/p/MCO51203431#polycard_client=search-nordic&amp;search_layout=stack&amp;position=3&amp;type=product&amp;tracking_id=fd9a58a6-78d1-4232-98d0-5133b59c83a0&amp;wid=MCO2953509182&amp;sid=search" xr:uid="{4034F2BD-0B9F-4EEC-9295-DAFC91AAC880}"/>
    <hyperlink ref="I8" r:id="rId9" xr:uid="{7FFB58B6-F66D-4F7D-8EE0-1066E3B6C980}"/>
  </hyperlinks>
  <pageMargins left="0.7" right="0.7" top="0.75" bottom="0.75" header="0.3" footer="0.3"/>
  <pageSetup paperSize="9" orientation="portrait" r:id="rId10"/>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F5D7-93FA-42B8-8C84-86CB30A9C855}">
  <sheetPr>
    <tabColor rgb="FFFF0000"/>
  </sheetPr>
  <dimension ref="A1:K10"/>
  <sheetViews>
    <sheetView workbookViewId="0">
      <selection activeCell="E5" sqref="E5"/>
    </sheetView>
  </sheetViews>
  <sheetFormatPr defaultColWidth="11.42578125" defaultRowHeight="15"/>
  <cols>
    <col min="1" max="5" width="29" customWidth="1"/>
    <col min="6" max="8" width="29" hidden="1" customWidth="1"/>
    <col min="9" max="9" width="29" customWidth="1"/>
  </cols>
  <sheetData>
    <row r="1" spans="1:11" ht="30" customHeight="1">
      <c r="A1" s="39" t="s">
        <v>0</v>
      </c>
      <c r="B1" s="39"/>
      <c r="C1" s="39"/>
      <c r="D1" s="39"/>
      <c r="E1" s="39"/>
      <c r="F1" s="39"/>
      <c r="G1" s="39"/>
      <c r="H1" s="39"/>
      <c r="I1" s="39"/>
      <c r="J1" s="39"/>
      <c r="K1" s="39"/>
    </row>
    <row r="2" spans="1:11" ht="15" customHeight="1">
      <c r="A2" s="40"/>
      <c r="B2" s="40"/>
      <c r="C2" s="40"/>
      <c r="D2" s="40"/>
      <c r="E2" s="40"/>
      <c r="F2" s="40"/>
      <c r="G2" s="40"/>
      <c r="H2" s="40"/>
      <c r="I2" s="40"/>
      <c r="J2" s="40"/>
      <c r="K2" s="40"/>
    </row>
    <row r="4" spans="1:11">
      <c r="A4" s="1" t="s">
        <v>1</v>
      </c>
      <c r="B4" s="1" t="s">
        <v>3</v>
      </c>
      <c r="C4" s="1" t="s">
        <v>64</v>
      </c>
      <c r="D4" s="1" t="s">
        <v>4</v>
      </c>
      <c r="E4" s="1" t="s">
        <v>5</v>
      </c>
      <c r="F4" s="1" t="s">
        <v>65</v>
      </c>
      <c r="G4" s="1" t="s">
        <v>66</v>
      </c>
      <c r="H4" s="1" t="s">
        <v>6</v>
      </c>
      <c r="I4" s="1" t="s">
        <v>7</v>
      </c>
    </row>
    <row r="5" spans="1:11" ht="51.75" customHeight="1">
      <c r="A5" s="3" t="s">
        <v>24</v>
      </c>
      <c r="B5" s="3" t="s">
        <v>67</v>
      </c>
      <c r="C5" s="10" t="s">
        <v>68</v>
      </c>
      <c r="D5" s="12" t="s">
        <v>69</v>
      </c>
      <c r="E5" s="13">
        <v>57000</v>
      </c>
      <c r="F5" s="13">
        <f>Tabla36[[#This Row],[Valor Total]]*19%</f>
        <v>10830</v>
      </c>
      <c r="G5" s="13">
        <f>Tabla36[[#This Row],[Valor Total]]+Tabla36[[#This Row],[IVA Incluido]]</f>
        <v>67830</v>
      </c>
      <c r="H5" s="2" t="s">
        <v>28</v>
      </c>
      <c r="I5" s="5" t="s">
        <v>70</v>
      </c>
    </row>
    <row r="6" spans="1:11" ht="47.25" customHeight="1">
      <c r="A6" s="2" t="s">
        <v>32</v>
      </c>
      <c r="B6" s="2" t="s">
        <v>71</v>
      </c>
      <c r="C6" s="10" t="s">
        <v>72</v>
      </c>
      <c r="D6" s="13" t="s">
        <v>69</v>
      </c>
      <c r="E6" s="13">
        <v>58900</v>
      </c>
      <c r="F6" s="13">
        <f>Tabla36[[#This Row],[Valor Total]]*19%</f>
        <v>11191</v>
      </c>
      <c r="G6" s="13">
        <f>Tabla36[[#This Row],[Valor Total]]+Tabla36[[#This Row],[IVA Incluido]]</f>
        <v>70091</v>
      </c>
      <c r="H6" s="13" t="s">
        <v>28</v>
      </c>
      <c r="I6" s="3" t="s">
        <v>73</v>
      </c>
    </row>
    <row r="7" spans="1:11" ht="39" customHeight="1">
      <c r="A7" s="2" t="s">
        <v>36</v>
      </c>
      <c r="B7" s="2" t="s">
        <v>74</v>
      </c>
      <c r="C7" s="6" t="s">
        <v>75</v>
      </c>
      <c r="D7" s="2" t="s">
        <v>69</v>
      </c>
      <c r="E7" s="13">
        <f>(30800)/0.59</f>
        <v>52203.38983050848</v>
      </c>
      <c r="F7" s="13">
        <f>Tabla36[[#This Row],[Valor Total]]*19%</f>
        <v>9918.6440677966111</v>
      </c>
      <c r="G7" s="13">
        <f>Tabla36[[#This Row],[Valor Total]]+Tabla36[[#This Row],[IVA Incluido]]</f>
        <v>62122.03389830509</v>
      </c>
      <c r="H7" s="13" t="s">
        <v>28</v>
      </c>
      <c r="I7" s="5" t="s">
        <v>76</v>
      </c>
    </row>
    <row r="8" spans="1:11" ht="29.25">
      <c r="A8" s="2" t="s">
        <v>42</v>
      </c>
      <c r="B8" s="2" t="s">
        <v>77</v>
      </c>
      <c r="C8" s="14" t="s">
        <v>78</v>
      </c>
      <c r="D8" s="2" t="s">
        <v>69</v>
      </c>
      <c r="E8" s="13">
        <v>59900</v>
      </c>
      <c r="F8" s="13">
        <f>Tabla36[[#This Row],[Valor Total]]*19%</f>
        <v>11381</v>
      </c>
      <c r="G8" s="13">
        <f>Tabla36[[#This Row],[Valor Total]]+Tabla36[[#This Row],[IVA Incluido]]</f>
        <v>71281</v>
      </c>
      <c r="H8" s="13" t="s">
        <v>28</v>
      </c>
      <c r="I8" s="5" t="s">
        <v>79</v>
      </c>
    </row>
    <row r="9" spans="1:11" hidden="1">
      <c r="E9" s="7"/>
      <c r="F9" s="7">
        <f>Tabla36[[#This Row],[Valor Total]]*19%</f>
        <v>0</v>
      </c>
      <c r="G9" s="7">
        <f>Tabla36[[#This Row],[Valor Total]]+Tabla36[[#This Row],[IVA Incluido]]</f>
        <v>0</v>
      </c>
    </row>
    <row r="10" spans="1:11" hidden="1">
      <c r="E10" s="7"/>
      <c r="F10" s="7">
        <f>Tabla36[[#This Row],[Valor Total]]*19%</f>
        <v>0</v>
      </c>
      <c r="G10">
        <f>Tabla36[[#This Row],[Valor Total]]+Tabla36[[#This Row],[IVA Incluido]]</f>
        <v>0</v>
      </c>
    </row>
  </sheetData>
  <mergeCells count="1">
    <mergeCell ref="A1:K2"/>
  </mergeCells>
  <hyperlinks>
    <hyperlink ref="C5" r:id="rId1" location="transfer" xr:uid="{D5B547D2-ED6E-4937-8942-6D5B20DD7D60}"/>
    <hyperlink ref="C6" r:id="rId2" xr:uid="{1DD4BFF9-D0EC-4CFD-A800-87B15B7479E6}"/>
    <hyperlink ref="C7" r:id="rId3" xr:uid="{F44A9FBB-7338-44DD-AC0F-DB41F3EC66CA}"/>
    <hyperlink ref="C8" r:id="rId4" xr:uid="{86F81A35-08DE-4B6D-8EBB-D2C2C15FE862}"/>
  </hyperlinks>
  <pageMargins left="0.7" right="0.7" top="0.75" bottom="0.75" header="0.3" footer="0.3"/>
  <pageSetup paperSize="9" orientation="portrait" r:id="rId5"/>
  <tableParts count="1">
    <tablePart r:id="rId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23B73-023D-45DE-B77C-3B9E26555E11}">
  <sheetPr>
    <tabColor rgb="FFFF0000"/>
  </sheetPr>
  <dimension ref="A1:J7"/>
  <sheetViews>
    <sheetView workbookViewId="0">
      <selection activeCell="F16" sqref="F16"/>
    </sheetView>
  </sheetViews>
  <sheetFormatPr defaultColWidth="11.42578125" defaultRowHeight="15"/>
  <cols>
    <col min="1" max="2" width="29" customWidth="1"/>
    <col min="3" max="3" width="30" customWidth="1"/>
    <col min="4" max="4" width="29" customWidth="1"/>
    <col min="5" max="5" width="32.7109375" customWidth="1"/>
    <col min="6" max="7" width="29" customWidth="1"/>
    <col min="8" max="8" width="62.28515625" customWidth="1"/>
  </cols>
  <sheetData>
    <row r="1" spans="1:10" ht="30" customHeight="1">
      <c r="A1" s="39" t="s">
        <v>0</v>
      </c>
      <c r="B1" s="39"/>
      <c r="C1" s="39"/>
      <c r="D1" s="39"/>
      <c r="E1" s="39"/>
      <c r="F1" s="39"/>
      <c r="G1" s="39"/>
      <c r="H1" s="39"/>
      <c r="I1" s="39"/>
      <c r="J1" s="39"/>
    </row>
    <row r="2" spans="1:10" ht="15" customHeight="1">
      <c r="A2" s="40"/>
      <c r="B2" s="40"/>
      <c r="C2" s="40"/>
      <c r="D2" s="40"/>
      <c r="E2" s="40"/>
      <c r="F2" s="40"/>
      <c r="G2" s="40"/>
      <c r="H2" s="40"/>
      <c r="I2" s="40"/>
      <c r="J2" s="40"/>
    </row>
    <row r="4" spans="1:10" ht="12.75" customHeight="1">
      <c r="A4" s="1" t="s">
        <v>1</v>
      </c>
      <c r="B4" s="1" t="s">
        <v>3</v>
      </c>
      <c r="C4" s="1" t="s">
        <v>4</v>
      </c>
      <c r="D4" s="1" t="s">
        <v>5</v>
      </c>
      <c r="E4" s="1" t="s">
        <v>80</v>
      </c>
      <c r="F4" s="1" t="s">
        <v>7</v>
      </c>
    </row>
    <row r="5" spans="1:10" ht="76.5" customHeight="1">
      <c r="A5" s="2" t="s">
        <v>8</v>
      </c>
      <c r="B5" s="2" t="s">
        <v>81</v>
      </c>
      <c r="C5" s="15" t="s">
        <v>82</v>
      </c>
      <c r="D5" s="11">
        <v>1150000</v>
      </c>
      <c r="E5" s="15" t="s">
        <v>83</v>
      </c>
      <c r="F5" s="6" t="s">
        <v>84</v>
      </c>
    </row>
    <row r="6" spans="1:10" ht="57" customHeight="1">
      <c r="A6" s="2" t="s">
        <v>85</v>
      </c>
      <c r="B6" s="2" t="s">
        <v>86</v>
      </c>
      <c r="C6" s="15" t="s">
        <v>87</v>
      </c>
      <c r="D6" s="11">
        <v>2247378</v>
      </c>
      <c r="E6" s="15" t="s">
        <v>88</v>
      </c>
      <c r="F6" s="6" t="s">
        <v>89</v>
      </c>
    </row>
    <row r="7" spans="1:10" hidden="1">
      <c r="A7" s="2" t="s">
        <v>15</v>
      </c>
      <c r="B7" s="2"/>
      <c r="C7" s="15"/>
      <c r="D7" s="4"/>
      <c r="E7" s="4"/>
      <c r="F7" s="6"/>
    </row>
  </sheetData>
  <mergeCells count="1">
    <mergeCell ref="A1:J2"/>
  </mergeCells>
  <hyperlinks>
    <hyperlink ref="F5" r:id="rId1" xr:uid="{0EC140AF-02EC-4B3A-AC0B-16E24887AA26}"/>
    <hyperlink ref="F6" r:id="rId2" xr:uid="{526F19C0-027B-48F4-8B9D-57FFF4B4A3F4}"/>
  </hyperlinks>
  <pageMargins left="0.7" right="0.7" top="0.75" bottom="0.75" header="0.3" footer="0.3"/>
  <pageSetup paperSize="9" orientation="portrait"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EAECA-CFFC-4859-AB7F-7622B2F4E43F}">
  <sheetPr>
    <tabColor rgb="FFFF0000"/>
  </sheetPr>
  <dimension ref="A1:K11"/>
  <sheetViews>
    <sheetView workbookViewId="0">
      <selection activeCell="J6" sqref="J6"/>
    </sheetView>
  </sheetViews>
  <sheetFormatPr defaultColWidth="11.42578125" defaultRowHeight="15"/>
  <cols>
    <col min="1" max="5" width="29" customWidth="1"/>
    <col min="6" max="8" width="29" hidden="1" customWidth="1"/>
    <col min="9" max="9" width="36.85546875" customWidth="1"/>
    <col min="10" max="11" width="11.42578125" bestFit="1" customWidth="1"/>
  </cols>
  <sheetData>
    <row r="1" spans="1:11" ht="30" customHeight="1">
      <c r="A1" s="39" t="s">
        <v>0</v>
      </c>
      <c r="B1" s="39"/>
      <c r="C1" s="39"/>
      <c r="D1" s="39"/>
      <c r="E1" s="39"/>
      <c r="F1" s="39"/>
      <c r="G1" s="39"/>
      <c r="H1" s="39"/>
      <c r="I1" s="39"/>
      <c r="J1" s="39"/>
      <c r="K1" s="39"/>
    </row>
    <row r="2" spans="1:11" ht="15" customHeight="1">
      <c r="A2" s="40"/>
      <c r="B2" s="40"/>
      <c r="C2" s="40"/>
      <c r="D2" s="40"/>
      <c r="E2" s="40"/>
      <c r="F2" s="40"/>
      <c r="G2" s="40"/>
      <c r="H2" s="40"/>
      <c r="I2" s="40"/>
      <c r="J2" s="40"/>
      <c r="K2" s="40"/>
    </row>
    <row r="4" spans="1:11">
      <c r="A4" s="1" t="s">
        <v>1</v>
      </c>
      <c r="B4" s="1" t="s">
        <v>3</v>
      </c>
      <c r="C4" s="1" t="s">
        <v>90</v>
      </c>
      <c r="D4" s="1" t="s">
        <v>4</v>
      </c>
      <c r="E4" s="1" t="s">
        <v>5</v>
      </c>
      <c r="F4" s="1" t="s">
        <v>65</v>
      </c>
      <c r="G4" s="1" t="s">
        <v>66</v>
      </c>
      <c r="H4" s="1" t="s">
        <v>6</v>
      </c>
      <c r="I4" s="1" t="s">
        <v>7</v>
      </c>
    </row>
    <row r="5" spans="1:11" ht="67.5" customHeight="1">
      <c r="A5" s="2" t="s">
        <v>24</v>
      </c>
      <c r="B5" s="2" t="s">
        <v>77</v>
      </c>
      <c r="C5" s="2" t="s">
        <v>91</v>
      </c>
      <c r="D5" s="2" t="s">
        <v>92</v>
      </c>
      <c r="E5" s="13">
        <v>169900</v>
      </c>
      <c r="F5" s="2">
        <f>Tabla367[[#This Row],[Valor Total]]*19%</f>
        <v>32281</v>
      </c>
      <c r="G5" s="2">
        <f>Tabla367[[#This Row],[Valor Total]] + Tabla367[[#This Row],[IVA Incluido]]</f>
        <v>202181</v>
      </c>
      <c r="H5" s="2" t="s">
        <v>28</v>
      </c>
      <c r="I5" s="9" t="s">
        <v>93</v>
      </c>
    </row>
    <row r="6" spans="1:11" ht="69" customHeight="1">
      <c r="A6" s="2" t="s">
        <v>32</v>
      </c>
      <c r="B6" s="2" t="s">
        <v>94</v>
      </c>
      <c r="C6" s="10" t="s">
        <v>95</v>
      </c>
      <c r="D6" s="2" t="s">
        <v>96</v>
      </c>
      <c r="E6" s="13">
        <v>170000</v>
      </c>
      <c r="F6" s="13">
        <f>Tabla367[[#This Row],[Valor Total]]*19%</f>
        <v>32300</v>
      </c>
      <c r="G6" s="13">
        <f>Tabla367[[#This Row],[Valor Total]] + Tabla367[[#This Row],[IVA Incluido]]</f>
        <v>202300</v>
      </c>
      <c r="H6" s="2" t="s">
        <v>28</v>
      </c>
      <c r="I6" s="5" t="s">
        <v>97</v>
      </c>
    </row>
    <row r="7" spans="1:11" ht="74.25" customHeight="1">
      <c r="A7" s="2" t="s">
        <v>36</v>
      </c>
      <c r="B7" s="2" t="s">
        <v>98</v>
      </c>
      <c r="C7" s="14" t="s">
        <v>99</v>
      </c>
      <c r="D7" s="2" t="s">
        <v>100</v>
      </c>
      <c r="E7" s="13">
        <v>210000</v>
      </c>
      <c r="F7" s="20">
        <f>Tabla367[[#This Row],[Valor Total]]*19%</f>
        <v>39900</v>
      </c>
      <c r="G7" s="20">
        <f>Tabla367[[#This Row],[Valor Total]] + Tabla367[[#This Row],[IVA Incluido]]</f>
        <v>249900</v>
      </c>
      <c r="H7" s="2" t="s">
        <v>28</v>
      </c>
      <c r="I7" s="5" t="s">
        <v>101</v>
      </c>
    </row>
    <row r="8" spans="1:11" ht="72.75" customHeight="1">
      <c r="A8" s="2" t="s">
        <v>42</v>
      </c>
      <c r="B8" s="2" t="s">
        <v>67</v>
      </c>
      <c r="C8" s="21" t="s">
        <v>102</v>
      </c>
      <c r="D8" s="3" t="s">
        <v>103</v>
      </c>
      <c r="E8" s="13">
        <v>432000</v>
      </c>
      <c r="F8" s="20">
        <f>Tabla367[[#This Row],[Valor Total]]*19%</f>
        <v>82080</v>
      </c>
      <c r="G8" s="20">
        <f>Tabla367[[#This Row],[Valor Total]] + Tabla367[[#This Row],[IVA Incluido]]</f>
        <v>514080</v>
      </c>
      <c r="H8" s="2" t="s">
        <v>28</v>
      </c>
      <c r="I8" s="5" t="s">
        <v>104</v>
      </c>
    </row>
    <row r="9" spans="1:11" hidden="1">
      <c r="F9" s="8">
        <f>Tabla367[[#This Row],[Valor Total]]*19%</f>
        <v>0</v>
      </c>
      <c r="G9" s="8">
        <f>Tabla367[[#This Row],[Valor Total]] + Tabla367[[#This Row],[IVA Incluido]]</f>
        <v>0</v>
      </c>
    </row>
    <row r="10" spans="1:11" hidden="1">
      <c r="F10" s="8">
        <f>Tabla367[[#This Row],[Valor Total]]*19%</f>
        <v>0</v>
      </c>
      <c r="G10" s="8">
        <f>Tabla367[[#This Row],[Valor Total]] + Tabla367[[#This Row],[IVA Incluido]]</f>
        <v>0</v>
      </c>
    </row>
    <row r="11" spans="1:11" hidden="1">
      <c r="F11" s="8">
        <f>Tabla367[[#This Row],[Valor Total]]*19%</f>
        <v>0</v>
      </c>
      <c r="G11" s="8">
        <f>Tabla367[[#This Row],[Valor Total]] + Tabla367[[#This Row],[IVA Incluido]]</f>
        <v>0</v>
      </c>
    </row>
  </sheetData>
  <mergeCells count="1">
    <mergeCell ref="A1:K2"/>
  </mergeCells>
  <hyperlinks>
    <hyperlink ref="C5" r:id="rId1" xr:uid="{F22503F4-F83F-4A24-8805-6D60BC0FB5DB}"/>
    <hyperlink ref="C6" r:id="rId2" xr:uid="{FE98D067-8CA7-45D3-99CA-B6FD502CD837}"/>
    <hyperlink ref="C7" r:id="rId3" xr:uid="{C236A74E-FF9B-4CCA-9E16-1D83E277A7E0}"/>
    <hyperlink ref="C8" r:id="rId4" xr:uid="{32ABD597-09FC-4BAD-9346-2F70ECE4D696}"/>
  </hyperlinks>
  <pageMargins left="0.7" right="0.7" top="0.75" bottom="0.75" header="0.3" footer="0.3"/>
  <pageSetup paperSize="9" orientation="portrait"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F2BC8-C659-4155-9734-9FA607ECF20C}">
  <sheetPr>
    <tabColor rgb="FFFF0000"/>
  </sheetPr>
  <dimension ref="A1:K11"/>
  <sheetViews>
    <sheetView workbookViewId="0">
      <selection activeCell="I7" sqref="I7"/>
    </sheetView>
  </sheetViews>
  <sheetFormatPr defaultColWidth="11.42578125" defaultRowHeight="15"/>
  <cols>
    <col min="1" max="5" width="29" customWidth="1"/>
    <col min="6" max="8" width="29" hidden="1" customWidth="1"/>
    <col min="9" max="9" width="40.140625" customWidth="1"/>
  </cols>
  <sheetData>
    <row r="1" spans="1:11" ht="30" customHeight="1">
      <c r="A1" s="39" t="s">
        <v>0</v>
      </c>
      <c r="B1" s="39"/>
      <c r="C1" s="39"/>
      <c r="D1" s="39"/>
      <c r="E1" s="39"/>
      <c r="F1" s="39"/>
      <c r="G1" s="39"/>
      <c r="H1" s="39"/>
      <c r="I1" s="39"/>
      <c r="J1" s="39"/>
      <c r="K1" s="39"/>
    </row>
    <row r="2" spans="1:11" ht="15" customHeight="1">
      <c r="A2" s="40"/>
      <c r="B2" s="40"/>
      <c r="C2" s="40"/>
      <c r="D2" s="40"/>
      <c r="E2" s="40"/>
      <c r="F2" s="40"/>
      <c r="G2" s="40"/>
      <c r="H2" s="40"/>
      <c r="I2" s="40"/>
      <c r="J2" s="40"/>
      <c r="K2" s="40"/>
    </row>
    <row r="4" spans="1:11">
      <c r="A4" s="1" t="s">
        <v>1</v>
      </c>
      <c r="B4" s="1" t="s">
        <v>3</v>
      </c>
      <c r="C4" s="1" t="s">
        <v>90</v>
      </c>
      <c r="D4" s="1" t="s">
        <v>4</v>
      </c>
      <c r="E4" s="1" t="s">
        <v>5</v>
      </c>
      <c r="F4" s="1" t="s">
        <v>65</v>
      </c>
      <c r="G4" s="1" t="s">
        <v>66</v>
      </c>
      <c r="H4" s="1" t="s">
        <v>6</v>
      </c>
      <c r="I4" s="1" t="s">
        <v>7</v>
      </c>
    </row>
    <row r="5" spans="1:11" ht="55.5" customHeight="1">
      <c r="A5" s="2" t="s">
        <v>24</v>
      </c>
      <c r="B5" s="2" t="s">
        <v>105</v>
      </c>
      <c r="C5" s="21" t="s">
        <v>106</v>
      </c>
      <c r="D5" s="2" t="s">
        <v>107</v>
      </c>
      <c r="E5" s="13">
        <v>99900</v>
      </c>
      <c r="F5" s="13">
        <f>Tabla36789[[#This Row],[Valor Total]] * 19%</f>
        <v>18981</v>
      </c>
      <c r="G5" s="22">
        <f>Tabla36789[[#This Row],[Valor Total]] + Tabla36789[[#This Row],[IVA Incluido]]</f>
        <v>118881</v>
      </c>
      <c r="H5" s="2" t="s">
        <v>108</v>
      </c>
      <c r="I5" s="9" t="s">
        <v>109</v>
      </c>
    </row>
    <row r="6" spans="1:11" ht="60" customHeight="1">
      <c r="A6" s="2" t="s">
        <v>32</v>
      </c>
      <c r="B6" s="2" t="s">
        <v>110</v>
      </c>
      <c r="C6" s="21" t="s">
        <v>111</v>
      </c>
      <c r="D6" s="2" t="s">
        <v>107</v>
      </c>
      <c r="E6" s="13">
        <v>39900</v>
      </c>
      <c r="F6" s="13">
        <f>Tabla36789[[#This Row],[Valor Total]] * 19%</f>
        <v>7581</v>
      </c>
      <c r="G6" s="22">
        <f>Tabla36789[[#This Row],[Valor Total]] + Tabla36789[[#This Row],[IVA Incluido]]</f>
        <v>47481</v>
      </c>
      <c r="H6" s="2" t="s">
        <v>108</v>
      </c>
      <c r="I6" s="5" t="s">
        <v>112</v>
      </c>
    </row>
    <row r="7" spans="1:11" ht="53.25" customHeight="1">
      <c r="A7" s="2" t="s">
        <v>36</v>
      </c>
      <c r="B7" s="2" t="s">
        <v>113</v>
      </c>
      <c r="C7" s="21" t="s">
        <v>114</v>
      </c>
      <c r="D7" s="2" t="s">
        <v>107</v>
      </c>
      <c r="E7" s="13">
        <v>116900</v>
      </c>
      <c r="F7" s="13">
        <f>Tabla36789[[#This Row],[Valor Total]] * 19%</f>
        <v>22211</v>
      </c>
      <c r="G7" s="22">
        <f>Tabla36789[[#This Row],[Valor Total]] + Tabla36789[[#This Row],[IVA Incluido]]</f>
        <v>139111</v>
      </c>
      <c r="H7" s="2" t="s">
        <v>108</v>
      </c>
      <c r="I7" s="5" t="s">
        <v>115</v>
      </c>
    </row>
    <row r="8" spans="1:11" ht="98.25" customHeight="1">
      <c r="A8" s="2" t="s">
        <v>42</v>
      </c>
      <c r="B8" s="2" t="s">
        <v>116</v>
      </c>
      <c r="C8" s="21" t="s">
        <v>117</v>
      </c>
      <c r="D8" s="2" t="s">
        <v>107</v>
      </c>
      <c r="E8" s="13">
        <v>99000</v>
      </c>
      <c r="F8" s="13">
        <f>Tabla36789[[#This Row],[Valor Total]] * 19%</f>
        <v>18810</v>
      </c>
      <c r="G8" s="22">
        <f>Tabla36789[[#This Row],[Valor Total]] + Tabla36789[[#This Row],[IVA Incluido]]</f>
        <v>117810</v>
      </c>
      <c r="H8" s="2" t="s">
        <v>108</v>
      </c>
      <c r="I8" s="5" t="s">
        <v>118</v>
      </c>
    </row>
    <row r="9" spans="1:11" hidden="1">
      <c r="A9" s="1"/>
      <c r="B9" s="1"/>
      <c r="D9" s="1"/>
      <c r="F9" s="8">
        <f>Tabla36789[[#This Row],[Valor Total]] * 19%</f>
        <v>0</v>
      </c>
      <c r="G9" s="8">
        <f>Tabla36789[[#This Row],[Valor Total]] + Tabla36789[[#This Row],[IVA Incluido]]</f>
        <v>0</v>
      </c>
      <c r="H9" s="1"/>
    </row>
    <row r="10" spans="1:11" hidden="1">
      <c r="B10" s="1"/>
      <c r="D10" s="1"/>
      <c r="F10" s="8">
        <f>Tabla36789[[#This Row],[Valor Total]] * 19%</f>
        <v>0</v>
      </c>
      <c r="G10" s="8">
        <f>Tabla36789[[#This Row],[Valor Total]] + Tabla36789[[#This Row],[IVA Incluido]]</f>
        <v>0</v>
      </c>
      <c r="H10" s="1"/>
    </row>
    <row r="11" spans="1:11" hidden="1">
      <c r="B11" s="1"/>
      <c r="D11" s="1"/>
      <c r="F11" s="8">
        <f>Tabla36789[[#This Row],[Valor Total]] * 19%</f>
        <v>0</v>
      </c>
      <c r="G11" s="8">
        <f>Tabla36789[[#This Row],[Valor Total]] + Tabla36789[[#This Row],[IVA Incluido]]</f>
        <v>0</v>
      </c>
      <c r="H11" s="1"/>
    </row>
  </sheetData>
  <mergeCells count="1">
    <mergeCell ref="A1:K2"/>
  </mergeCells>
  <hyperlinks>
    <hyperlink ref="C5" r:id="rId1" xr:uid="{B086CBD5-193B-4AC8-894D-FEE55816B817}"/>
    <hyperlink ref="C6" r:id="rId2" xr:uid="{BCFB6329-689A-4DF6-92D0-312E89B2CC01}"/>
    <hyperlink ref="C7" r:id="rId3" xr:uid="{32A7074F-9B13-49AF-97BF-0E0F828201AA}"/>
    <hyperlink ref="C8" r:id="rId4" xr:uid="{1C771D3E-975D-4BB3-8E6E-FA379F12BC2E}"/>
  </hyperlinks>
  <pageMargins left="0.7" right="0.7" top="0.75" bottom="0.75" header="0.3" footer="0.3"/>
  <pageSetup paperSize="9" orientation="portrait" r:id="rId5"/>
  <tableParts count="1">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F436F-3F63-4BD9-934B-3A2F487CAEB2}">
  <sheetPr>
    <tabColor rgb="FFFF0000"/>
  </sheetPr>
  <dimension ref="A1:K8"/>
  <sheetViews>
    <sheetView topLeftCell="C1" workbookViewId="0">
      <selection activeCell="I7" sqref="I7"/>
    </sheetView>
  </sheetViews>
  <sheetFormatPr defaultColWidth="11.42578125" defaultRowHeight="15"/>
  <cols>
    <col min="1" max="5" width="29" customWidth="1"/>
    <col min="6" max="8" width="29" hidden="1" customWidth="1"/>
    <col min="9" max="9" width="56.7109375" customWidth="1"/>
  </cols>
  <sheetData>
    <row r="1" spans="1:11" ht="30" customHeight="1">
      <c r="A1" s="39" t="s">
        <v>0</v>
      </c>
      <c r="B1" s="39"/>
      <c r="C1" s="39"/>
      <c r="D1" s="39"/>
      <c r="E1" s="39"/>
      <c r="F1" s="39"/>
      <c r="G1" s="39"/>
      <c r="H1" s="39"/>
      <c r="I1" s="39"/>
      <c r="J1" s="39"/>
      <c r="K1" s="39"/>
    </row>
    <row r="2" spans="1:11" ht="15" customHeight="1">
      <c r="A2" s="40"/>
      <c r="B2" s="40"/>
      <c r="C2" s="40"/>
      <c r="D2" s="40"/>
      <c r="E2" s="40"/>
      <c r="F2" s="40"/>
      <c r="G2" s="40"/>
      <c r="H2" s="40"/>
      <c r="I2" s="40"/>
      <c r="J2" s="40"/>
      <c r="K2" s="40"/>
    </row>
    <row r="4" spans="1:11">
      <c r="A4" s="1" t="s">
        <v>1</v>
      </c>
      <c r="B4" s="1" t="s">
        <v>3</v>
      </c>
      <c r="C4" s="1" t="s">
        <v>90</v>
      </c>
      <c r="D4" s="1" t="s">
        <v>4</v>
      </c>
      <c r="E4" s="1" t="s">
        <v>5</v>
      </c>
      <c r="F4" s="1" t="s">
        <v>65</v>
      </c>
      <c r="G4" s="1" t="s">
        <v>66</v>
      </c>
      <c r="H4" s="1" t="s">
        <v>6</v>
      </c>
      <c r="I4" s="1" t="s">
        <v>7</v>
      </c>
    </row>
    <row r="5" spans="1:11" ht="73.5" customHeight="1">
      <c r="A5" s="2" t="s">
        <v>119</v>
      </c>
      <c r="B5" s="2" t="s">
        <v>120</v>
      </c>
      <c r="C5" s="21" t="s">
        <v>121</v>
      </c>
      <c r="D5" s="2" t="s">
        <v>122</v>
      </c>
      <c r="E5" s="13">
        <v>99000</v>
      </c>
      <c r="F5" s="13">
        <f>Tabla3678910[[#This Row],[Valor Total]]*19%</f>
        <v>18810</v>
      </c>
      <c r="G5" s="13">
        <f>Tabla3678910[[#This Row],[Valor Total]] + Tabla3678910[[#This Row],[IVA Incluido]]</f>
        <v>117810</v>
      </c>
      <c r="H5" s="2" t="s">
        <v>108</v>
      </c>
      <c r="I5" s="23" t="s">
        <v>123</v>
      </c>
    </row>
    <row r="6" spans="1:11" ht="54.75" customHeight="1">
      <c r="A6" s="2" t="s">
        <v>124</v>
      </c>
      <c r="B6" s="2" t="s">
        <v>125</v>
      </c>
      <c r="C6" s="21" t="s">
        <v>126</v>
      </c>
      <c r="D6" s="2" t="s">
        <v>127</v>
      </c>
      <c r="E6" s="13">
        <v>134900</v>
      </c>
      <c r="F6" s="13">
        <f>Tabla3678910[[#This Row],[Valor Total]]*19%</f>
        <v>25631</v>
      </c>
      <c r="G6" s="13">
        <f>Tabla3678910[[#This Row],[Valor Total]] + Tabla3678910[[#This Row],[IVA Incluido]]</f>
        <v>160531</v>
      </c>
      <c r="H6" s="2" t="s">
        <v>108</v>
      </c>
      <c r="I6" s="5" t="s">
        <v>128</v>
      </c>
    </row>
    <row r="7" spans="1:11" ht="75.75" customHeight="1">
      <c r="A7" s="2" t="s">
        <v>129</v>
      </c>
      <c r="B7" s="2" t="s">
        <v>130</v>
      </c>
      <c r="C7" s="21" t="s">
        <v>131</v>
      </c>
      <c r="D7" s="2" t="s">
        <v>127</v>
      </c>
      <c r="E7" s="13">
        <v>117850</v>
      </c>
      <c r="F7" s="13">
        <f>Tabla3678910[[#This Row],[Valor Total]]*19%</f>
        <v>22391.5</v>
      </c>
      <c r="G7" s="13">
        <f>Tabla3678910[[#This Row],[Valor Total]] + Tabla3678910[[#This Row],[IVA Incluido]]</f>
        <v>140241.5</v>
      </c>
      <c r="H7" s="2" t="s">
        <v>108</v>
      </c>
      <c r="I7" s="5" t="s">
        <v>132</v>
      </c>
    </row>
    <row r="8" spans="1:11" ht="74.25" customHeight="1">
      <c r="A8" s="2" t="s">
        <v>133</v>
      </c>
      <c r="B8" s="2" t="s">
        <v>134</v>
      </c>
      <c r="C8" s="6" t="s">
        <v>135</v>
      </c>
      <c r="D8" s="2" t="s">
        <v>122</v>
      </c>
      <c r="E8" s="13">
        <v>298650</v>
      </c>
      <c r="F8" s="13">
        <f>Tabla3678910[[#This Row],[Valor Total]]*19%</f>
        <v>56743.5</v>
      </c>
      <c r="G8" s="13">
        <f>Tabla3678910[[#This Row],[Valor Total]] + Tabla3678910[[#This Row],[IVA Incluido]]</f>
        <v>355393.5</v>
      </c>
      <c r="H8" s="2" t="s">
        <v>108</v>
      </c>
      <c r="I8" s="5" t="s">
        <v>136</v>
      </c>
    </row>
  </sheetData>
  <mergeCells count="1">
    <mergeCell ref="A1:K2"/>
  </mergeCells>
  <hyperlinks>
    <hyperlink ref="C5" r:id="rId1" xr:uid="{E78403E0-70E6-4676-BD39-2DB8D930969E}"/>
    <hyperlink ref="C6" r:id="rId2" display="http://g2a.com/es/microsoft-visual-studio-2022-enterprise-pc-microsoft-key-global-i10000325952001?___language=es&amp;er=3cf501fcfc436491a2261e5494f1762b3db45ff7b5ae84696b3ada99c163e4856bd1e617e82e2ae014844d8920b833fd&amp;uuid=ab06a8fa-cb54-4101-9de2-7ea433024223&amp;srsltid=AfmBOoqgpuaT5WnkXrAKXR6CqQpRTYA_oBAGb1CeMO54gEfv44_1NccTsE0" xr:uid="{96B195BB-46B1-4152-983B-DD46B5713140}"/>
    <hyperlink ref="C7" r:id="rId3" xr:uid="{5005DA60-FE12-4CA5-B372-FAEF9746BEF3}"/>
    <hyperlink ref="C8" r:id="rId4" xr:uid="{8CEEFCAA-288F-4EF0-BDE3-6D9679736FB4}"/>
  </hyperlinks>
  <pageMargins left="0.7" right="0.7" top="0.75" bottom="0.75" header="0.3" footer="0.3"/>
  <pageSetup paperSize="9" orientation="portrait" r:id="rId5"/>
  <tableParts count="1">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74EAD-4327-4BD8-B2C3-6C266B8F533B}">
  <sheetPr>
    <tabColor rgb="FFFF0000"/>
  </sheetPr>
  <dimension ref="A1:K12"/>
  <sheetViews>
    <sheetView topLeftCell="A5" workbookViewId="0">
      <selection activeCell="I8" sqref="I8"/>
    </sheetView>
  </sheetViews>
  <sheetFormatPr defaultColWidth="11.42578125" defaultRowHeight="15"/>
  <cols>
    <col min="1" max="5" width="29" customWidth="1"/>
    <col min="6" max="8" width="29" hidden="1" customWidth="1"/>
    <col min="9" max="9" width="48.140625" customWidth="1"/>
  </cols>
  <sheetData>
    <row r="1" spans="1:11" ht="30" customHeight="1">
      <c r="A1" s="39" t="s">
        <v>0</v>
      </c>
      <c r="B1" s="39"/>
      <c r="C1" s="39"/>
      <c r="D1" s="39"/>
      <c r="E1" s="39"/>
      <c r="F1" s="39"/>
      <c r="G1" s="39"/>
      <c r="H1" s="39"/>
      <c r="I1" s="39"/>
      <c r="J1" s="39"/>
      <c r="K1" s="39"/>
    </row>
    <row r="2" spans="1:11" ht="15" customHeight="1">
      <c r="A2" s="40"/>
      <c r="B2" s="40"/>
      <c r="C2" s="40"/>
      <c r="D2" s="40"/>
      <c r="E2" s="40"/>
      <c r="F2" s="40"/>
      <c r="G2" s="40"/>
      <c r="H2" s="40"/>
      <c r="I2" s="40"/>
      <c r="J2" s="40"/>
      <c r="K2" s="40"/>
    </row>
    <row r="4" spans="1:11">
      <c r="A4" s="1" t="s">
        <v>1</v>
      </c>
      <c r="B4" s="1" t="s">
        <v>3</v>
      </c>
      <c r="C4" s="1" t="s">
        <v>90</v>
      </c>
      <c r="D4" s="1" t="s">
        <v>4</v>
      </c>
      <c r="E4" s="1" t="s">
        <v>5</v>
      </c>
      <c r="F4" s="1" t="s">
        <v>65</v>
      </c>
      <c r="G4" s="1" t="s">
        <v>66</v>
      </c>
      <c r="H4" s="1" t="s">
        <v>6</v>
      </c>
      <c r="I4" s="1" t="s">
        <v>7</v>
      </c>
    </row>
    <row r="5" spans="1:11" ht="72.75" customHeight="1">
      <c r="A5" s="2" t="s">
        <v>119</v>
      </c>
      <c r="B5" s="2" t="s">
        <v>137</v>
      </c>
      <c r="C5" s="21" t="s">
        <v>138</v>
      </c>
      <c r="D5" s="24" t="s">
        <v>139</v>
      </c>
      <c r="E5" s="13">
        <v>1790000</v>
      </c>
      <c r="F5" s="20">
        <f>Tabla367891011[[#This Row],[Valor Total]]*19%</f>
        <v>340100</v>
      </c>
      <c r="G5" s="20">
        <f>Tabla367891011[[#This Row],[Valor Total]]+Tabla367891011[[#This Row],[IVA Incluido]]</f>
        <v>2130100</v>
      </c>
      <c r="H5" s="2" t="s">
        <v>13</v>
      </c>
      <c r="I5" s="9" t="s">
        <v>140</v>
      </c>
    </row>
    <row r="6" spans="1:11" ht="68.25" customHeight="1">
      <c r="A6" s="2" t="s">
        <v>124</v>
      </c>
      <c r="B6" s="2" t="s">
        <v>141</v>
      </c>
      <c r="C6" s="21" t="s">
        <v>142</v>
      </c>
      <c r="D6" s="24" t="s">
        <v>139</v>
      </c>
      <c r="E6" s="13">
        <v>4806700</v>
      </c>
      <c r="F6" s="20">
        <f>Tabla367891011[[#This Row],[Valor Total]]*19%</f>
        <v>913273</v>
      </c>
      <c r="G6" s="20">
        <f>Tabla367891011[[#This Row],[Valor Total]]+Tabla367891011[[#This Row],[IVA Incluido]]</f>
        <v>5719973</v>
      </c>
      <c r="H6" s="2" t="s">
        <v>13</v>
      </c>
      <c r="I6" s="5" t="s">
        <v>143</v>
      </c>
    </row>
    <row r="7" spans="1:11" ht="65.25" customHeight="1">
      <c r="A7" s="2" t="s">
        <v>129</v>
      </c>
      <c r="B7" s="2" t="s">
        <v>144</v>
      </c>
      <c r="C7" s="21" t="s">
        <v>145</v>
      </c>
      <c r="D7" s="24" t="s">
        <v>146</v>
      </c>
      <c r="E7" s="13">
        <v>2342259</v>
      </c>
      <c r="F7" s="20">
        <f>Tabla367891011[[#This Row],[Valor Total]]*19%</f>
        <v>445029.21</v>
      </c>
      <c r="G7" s="20">
        <f>Tabla367891011[[#This Row],[Valor Total]]+Tabla367891011[[#This Row],[IVA Incluido]]</f>
        <v>2787288.21</v>
      </c>
      <c r="H7" s="2" t="s">
        <v>13</v>
      </c>
      <c r="I7" s="5" t="s">
        <v>147</v>
      </c>
    </row>
    <row r="8" spans="1:11" ht="57" customHeight="1">
      <c r="A8" s="2" t="s">
        <v>133</v>
      </c>
      <c r="B8" s="2" t="s">
        <v>148</v>
      </c>
      <c r="C8" s="21" t="s">
        <v>149</v>
      </c>
      <c r="D8" s="24" t="s">
        <v>139</v>
      </c>
      <c r="E8" s="13">
        <v>3907000</v>
      </c>
      <c r="F8" s="20">
        <f>Tabla367891011[[#This Row],[Valor Total]]*19%</f>
        <v>742330</v>
      </c>
      <c r="G8" s="20">
        <f>Tabla367891011[[#This Row],[Valor Total]]+Tabla367891011[[#This Row],[IVA Incluido]]</f>
        <v>4649330</v>
      </c>
      <c r="H8" s="2" t="s">
        <v>13</v>
      </c>
      <c r="I8" s="5" t="s">
        <v>150</v>
      </c>
    </row>
    <row r="9" spans="1:11" hidden="1">
      <c r="E9" s="7"/>
      <c r="F9" s="8">
        <f>Tabla367891011[[#This Row],[Valor Total]]*19%</f>
        <v>0</v>
      </c>
      <c r="G9" s="8">
        <f>Tabla367891011[[#This Row],[Valor Total]]+Tabla367891011[[#This Row],[IVA Incluido]]</f>
        <v>0</v>
      </c>
    </row>
    <row r="10" spans="1:11" hidden="1">
      <c r="F10" s="8">
        <f>Tabla367891011[[#This Row],[Valor Total]]*19%</f>
        <v>0</v>
      </c>
      <c r="G10" s="8">
        <f>Tabla367891011[[#This Row],[Valor Total]]+Tabla367891011[[#This Row],[IVA Incluido]]</f>
        <v>0</v>
      </c>
    </row>
    <row r="11" spans="1:11" hidden="1">
      <c r="F11" s="8">
        <f>Tabla367891011[[#This Row],[Valor Total]]*19%</f>
        <v>0</v>
      </c>
      <c r="G11" s="8">
        <f>Tabla367891011[[#This Row],[Valor Total]]+Tabla367891011[[#This Row],[IVA Incluido]]</f>
        <v>0</v>
      </c>
    </row>
    <row r="12" spans="1:11" hidden="1">
      <c r="F12" s="8">
        <f>Tabla367891011[[#This Row],[Valor Total]]*19%</f>
        <v>0</v>
      </c>
      <c r="G12" s="8">
        <f>Tabla367891011[[#This Row],[Valor Total]]+Tabla367891011[[#This Row],[IVA Incluido]]</f>
        <v>0</v>
      </c>
    </row>
  </sheetData>
  <mergeCells count="1">
    <mergeCell ref="A1:K2"/>
  </mergeCells>
  <hyperlinks>
    <hyperlink ref="C5" r:id="rId1" xr:uid="{4DD35DD2-5DB0-4EF6-ADCC-3DA7C0779BF0}"/>
    <hyperlink ref="C6" r:id="rId2" xr:uid="{12042A16-B1F8-404A-AE18-538C7B8EAEAA}"/>
    <hyperlink ref="C7" r:id="rId3" xr:uid="{B6BBEFB5-8B27-4358-9936-F4F2CBD109EB}"/>
    <hyperlink ref="C8" r:id="rId4" xr:uid="{35230E47-500D-4DA4-8DEB-AA376DF94E59}"/>
  </hyperlinks>
  <pageMargins left="0.7" right="0.7" top="0.75" bottom="0.75" header="0.3" footer="0.3"/>
  <pageSetup paperSize="9" orientation="portrait" r:id="rId5"/>
  <tableParts count="1">
    <tablePart r:id="rId6"/>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3FADC-ED83-4208-9724-586A1211F852}">
  <sheetPr>
    <tabColor rgb="FFFF0000"/>
  </sheetPr>
  <dimension ref="A1:K12"/>
  <sheetViews>
    <sheetView tabSelected="1" workbookViewId="0">
      <selection activeCell="I5" sqref="I5"/>
    </sheetView>
  </sheetViews>
  <sheetFormatPr defaultColWidth="11.42578125" defaultRowHeight="15"/>
  <cols>
    <col min="1" max="5" width="29" customWidth="1"/>
    <col min="6" max="8" width="29" hidden="1" customWidth="1"/>
    <col min="9" max="9" width="48.140625" customWidth="1"/>
  </cols>
  <sheetData>
    <row r="1" spans="1:11" ht="30" customHeight="1">
      <c r="A1" s="39" t="s">
        <v>0</v>
      </c>
      <c r="B1" s="39"/>
      <c r="C1" s="39"/>
      <c r="D1" s="39"/>
      <c r="E1" s="39"/>
      <c r="F1" s="39"/>
      <c r="G1" s="39"/>
      <c r="H1" s="39"/>
      <c r="I1" s="39"/>
      <c r="J1" s="39"/>
      <c r="K1" s="39"/>
    </row>
    <row r="2" spans="1:11" ht="15" customHeight="1">
      <c r="A2" s="40"/>
      <c r="B2" s="40"/>
      <c r="C2" s="40"/>
      <c r="D2" s="40"/>
      <c r="E2" s="40"/>
      <c r="F2" s="40"/>
      <c r="G2" s="40"/>
      <c r="H2" s="40"/>
      <c r="I2" s="40"/>
      <c r="J2" s="40"/>
      <c r="K2" s="40"/>
    </row>
    <row r="4" spans="1:11">
      <c r="A4" s="1" t="s">
        <v>1</v>
      </c>
      <c r="B4" s="1" t="s">
        <v>3</v>
      </c>
      <c r="C4" s="1" t="s">
        <v>90</v>
      </c>
      <c r="D4" s="1" t="s">
        <v>4</v>
      </c>
      <c r="E4" s="1" t="s">
        <v>5</v>
      </c>
      <c r="F4" s="1" t="s">
        <v>65</v>
      </c>
      <c r="G4" s="1" t="s">
        <v>66</v>
      </c>
      <c r="H4" s="1" t="s">
        <v>6</v>
      </c>
      <c r="I4" s="1" t="s">
        <v>7</v>
      </c>
    </row>
    <row r="5" spans="1:11" ht="72.75" customHeight="1">
      <c r="A5" s="2" t="s">
        <v>119</v>
      </c>
      <c r="B5" s="3" t="s">
        <v>151</v>
      </c>
      <c r="C5" s="21" t="s">
        <v>152</v>
      </c>
      <c r="D5" s="24" t="s">
        <v>153</v>
      </c>
      <c r="E5" s="13">
        <v>439000</v>
      </c>
      <c r="F5" s="20"/>
      <c r="G5" s="20"/>
      <c r="H5" s="2"/>
      <c r="I5" s="23" t="s">
        <v>154</v>
      </c>
    </row>
    <row r="6" spans="1:11" ht="68.25" customHeight="1">
      <c r="A6" s="2" t="s">
        <v>124</v>
      </c>
      <c r="B6" s="2" t="s">
        <v>155</v>
      </c>
      <c r="C6" s="26" t="s">
        <v>156</v>
      </c>
      <c r="D6" s="24" t="s">
        <v>153</v>
      </c>
      <c r="E6" s="13">
        <v>270000</v>
      </c>
      <c r="F6" s="20"/>
      <c r="G6" s="20"/>
      <c r="H6" s="2"/>
      <c r="I6" s="5" t="s">
        <v>157</v>
      </c>
    </row>
    <row r="7" spans="1:11" ht="65.25" hidden="1" customHeight="1">
      <c r="A7" s="2" t="s">
        <v>129</v>
      </c>
      <c r="B7" s="2"/>
      <c r="C7" s="26"/>
      <c r="D7" s="24"/>
      <c r="E7" s="13"/>
      <c r="F7" s="20"/>
      <c r="G7" s="20"/>
      <c r="H7" s="2"/>
      <c r="I7" s="5"/>
    </row>
    <row r="8" spans="1:11" ht="57" hidden="1" customHeight="1">
      <c r="A8" s="2" t="s">
        <v>133</v>
      </c>
      <c r="B8" s="2"/>
      <c r="C8" s="21"/>
      <c r="D8" s="24"/>
      <c r="F8" s="20"/>
      <c r="G8" s="20"/>
      <c r="H8" s="2"/>
      <c r="I8" s="5"/>
    </row>
    <row r="9" spans="1:11" hidden="1">
      <c r="E9" s="7"/>
      <c r="F9" s="8">
        <f>Tabla3678910113[[#This Row],[Valor Total]]*19%</f>
        <v>0</v>
      </c>
      <c r="G9" s="8">
        <f>Tabla3678910113[[#This Row],[Valor Total]]+Tabla3678910113[[#This Row],[IVA Incluido]]</f>
        <v>0</v>
      </c>
    </row>
    <row r="10" spans="1:11" hidden="1">
      <c r="F10" s="8">
        <f>Tabla3678910113[[#This Row],[Valor Total]]*19%</f>
        <v>0</v>
      </c>
      <c r="G10" s="8">
        <f>Tabla3678910113[[#This Row],[Valor Total]]+Tabla3678910113[[#This Row],[IVA Incluido]]</f>
        <v>0</v>
      </c>
    </row>
    <row r="11" spans="1:11" hidden="1">
      <c r="F11" s="8">
        <f>Tabla3678910113[[#This Row],[Valor Total]]*19%</f>
        <v>0</v>
      </c>
      <c r="G11" s="8">
        <f>Tabla3678910113[[#This Row],[Valor Total]]+Tabla3678910113[[#This Row],[IVA Incluido]]</f>
        <v>0</v>
      </c>
    </row>
    <row r="12" spans="1:11" hidden="1">
      <c r="F12" s="8">
        <f>Tabla3678910113[[#This Row],[Valor Total]]*19%</f>
        <v>0</v>
      </c>
      <c r="G12" s="8">
        <f>Tabla3678910113[[#This Row],[Valor Total]]+Tabla3678910113[[#This Row],[IVA Incluido]]</f>
        <v>0</v>
      </c>
    </row>
  </sheetData>
  <mergeCells count="1">
    <mergeCell ref="A1:K2"/>
  </mergeCells>
  <hyperlinks>
    <hyperlink ref="C5" r:id="rId1" xr:uid="{8C805F6F-8180-465A-B95C-96E6998F5371}"/>
    <hyperlink ref="C6" r:id="rId2" xr:uid="{B8D26C77-5406-4FBD-AF8B-E89CD12D54EF}"/>
  </hyperlinks>
  <pageMargins left="0.7" right="0.7" top="0.75" bottom="0.75" header="0.3" footer="0.3"/>
  <pageSetup paperSize="9" orientation="portrait"/>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7FC28-3397-4047-95AE-A5EDF41A1FE6}">
  <sheetPr>
    <tabColor theme="7" tint="0.79998168889431442"/>
  </sheetPr>
  <dimension ref="A1:E11"/>
  <sheetViews>
    <sheetView topLeftCell="A7" workbookViewId="0">
      <selection activeCell="A7" sqref="A7"/>
    </sheetView>
  </sheetViews>
  <sheetFormatPr defaultColWidth="11.42578125" defaultRowHeight="15"/>
  <cols>
    <col min="1" max="4" width="29" customWidth="1"/>
    <col min="5" max="5" width="34.28515625" customWidth="1"/>
  </cols>
  <sheetData>
    <row r="1" spans="1:5" ht="30" customHeight="1">
      <c r="A1" s="39" t="s">
        <v>0</v>
      </c>
      <c r="B1" s="39"/>
      <c r="C1" s="39"/>
      <c r="D1" s="39"/>
      <c r="E1" s="39"/>
    </row>
    <row r="2" spans="1:5" ht="15" customHeight="1">
      <c r="A2" s="40"/>
      <c r="B2" s="40"/>
      <c r="C2" s="40"/>
      <c r="D2" s="40"/>
      <c r="E2" s="40"/>
    </row>
    <row r="4" spans="1:5">
      <c r="A4" s="1" t="s">
        <v>1</v>
      </c>
      <c r="B4" s="1" t="s">
        <v>158</v>
      </c>
      <c r="C4" s="1" t="s">
        <v>159</v>
      </c>
      <c r="D4" s="1" t="s">
        <v>5</v>
      </c>
      <c r="E4" s="1" t="s">
        <v>160</v>
      </c>
    </row>
    <row r="5" spans="1:5" ht="159">
      <c r="A5" s="25" t="s">
        <v>161</v>
      </c>
      <c r="B5" s="2">
        <v>20</v>
      </c>
      <c r="C5" s="18">
        <v>9000</v>
      </c>
      <c r="D5" s="18">
        <f>Tabla32[[#This Row],[Tiempo estimado(Horas)]]*Tabla32[[#This Row],[Valor Unitario (Hora)]]</f>
        <v>180000</v>
      </c>
      <c r="E5" s="23" t="s">
        <v>162</v>
      </c>
    </row>
    <row r="6" spans="1:5" ht="188.25">
      <c r="A6" s="25" t="s">
        <v>163</v>
      </c>
      <c r="B6" s="2">
        <v>40</v>
      </c>
      <c r="C6" s="18">
        <v>8000</v>
      </c>
      <c r="D6" s="18">
        <f>Tabla32[[#This Row],[Tiempo estimado(Horas)]]*Tabla32[[#This Row],[Valor Unitario (Hora)]]</f>
        <v>320000</v>
      </c>
      <c r="E6" s="23" t="s">
        <v>164</v>
      </c>
    </row>
    <row r="7" spans="1:5" ht="188.25">
      <c r="A7" s="25" t="s">
        <v>165</v>
      </c>
      <c r="B7" s="2">
        <f>8*7*2</f>
        <v>112</v>
      </c>
      <c r="C7" s="18">
        <v>8000</v>
      </c>
      <c r="D7" s="18">
        <f>Tabla32[[#This Row],[Tiempo estimado(Horas)]]*Tabla32[[#This Row],[Valor Unitario (Hora)]]</f>
        <v>896000</v>
      </c>
      <c r="E7" s="23" t="s">
        <v>166</v>
      </c>
    </row>
    <row r="8" spans="1:5">
      <c r="A8" s="5"/>
      <c r="B8" s="2"/>
      <c r="C8" s="18"/>
      <c r="D8" s="18"/>
      <c r="E8" s="23"/>
    </row>
    <row r="9" spans="1:5">
      <c r="C9" s="2"/>
    </row>
    <row r="11" spans="1:5">
      <c r="C11" s="27" t="s">
        <v>167</v>
      </c>
      <c r="D11" s="19">
        <f>D5+D6+D7+D8</f>
        <v>1396000</v>
      </c>
      <c r="E11" s="19"/>
    </row>
  </sheetData>
  <mergeCells count="1">
    <mergeCell ref="A1:E2"/>
  </mergeCells>
  <phoneticPr fontId="3" type="noConversion"/>
  <pageMargins left="0.7" right="0.7" top="0.75" bottom="0.75" header="0.3" footer="0.3"/>
  <pageSetup paperSize="9" orientation="portrait"/>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516B6-17E7-40DE-814D-2FC540F925C4}">
  <sheetPr>
    <tabColor theme="7" tint="0.79998168889431442"/>
  </sheetPr>
  <dimension ref="A1:F11"/>
  <sheetViews>
    <sheetView workbookViewId="0">
      <selection activeCell="C11" sqref="C11"/>
    </sheetView>
  </sheetViews>
  <sheetFormatPr defaultColWidth="11.42578125" defaultRowHeight="15"/>
  <cols>
    <col min="1" max="4" width="29" customWidth="1"/>
  </cols>
  <sheetData>
    <row r="1" spans="1:6" ht="30" customHeight="1">
      <c r="A1" s="39" t="s">
        <v>0</v>
      </c>
      <c r="B1" s="39"/>
      <c r="C1" s="39"/>
      <c r="D1" s="39"/>
      <c r="E1" s="39"/>
      <c r="F1" s="39"/>
    </row>
    <row r="2" spans="1:6" ht="15" customHeight="1">
      <c r="A2" s="40"/>
      <c r="B2" s="40"/>
      <c r="C2" s="40"/>
      <c r="D2" s="40"/>
      <c r="E2" s="40"/>
      <c r="F2" s="40"/>
    </row>
    <row r="4" spans="1:6">
      <c r="A4" s="1" t="s">
        <v>1</v>
      </c>
      <c r="B4" s="1" t="s">
        <v>168</v>
      </c>
      <c r="C4" s="1" t="s">
        <v>159</v>
      </c>
      <c r="D4" s="1" t="s">
        <v>5</v>
      </c>
    </row>
    <row r="5" spans="1:6" ht="59.25" customHeight="1">
      <c r="A5" s="25" t="s">
        <v>169</v>
      </c>
      <c r="B5" s="2">
        <v>12</v>
      </c>
      <c r="C5" s="18">
        <v>8000</v>
      </c>
      <c r="D5" s="18">
        <f>Tabla3212[[#This Row],[Horas de desarrollo]]*Tabla3212[[#This Row],[Valor Unitario (Hora)]]</f>
        <v>96000</v>
      </c>
    </row>
    <row r="6" spans="1:6">
      <c r="A6" s="25" t="s">
        <v>170</v>
      </c>
      <c r="B6" s="2">
        <v>60</v>
      </c>
      <c r="C6" s="18">
        <v>8000</v>
      </c>
      <c r="D6" s="18">
        <f>Tabla3212[[#This Row],[Horas de desarrollo]]*Tabla3212[[#This Row],[Valor Unitario (Hora)]]</f>
        <v>480000</v>
      </c>
    </row>
    <row r="7" spans="1:6">
      <c r="A7" s="5" t="s">
        <v>171</v>
      </c>
      <c r="B7" s="2">
        <v>50</v>
      </c>
      <c r="C7" s="18">
        <v>8000</v>
      </c>
      <c r="D7" s="18">
        <f>Tabla3212[[#This Row],[Horas de desarrollo]]*Tabla3212[[#This Row],[Valor Unitario (Hora)]]</f>
        <v>400000</v>
      </c>
    </row>
    <row r="8" spans="1:6" ht="29.25">
      <c r="A8" s="5" t="s">
        <v>172</v>
      </c>
      <c r="B8" s="2">
        <v>80</v>
      </c>
      <c r="C8" s="18">
        <v>8000</v>
      </c>
      <c r="D8" s="18">
        <f>Tabla3212[[#This Row],[Horas de desarrollo]]*Tabla3212[[#This Row],[Valor Unitario (Hora)]]</f>
        <v>640000</v>
      </c>
    </row>
    <row r="9" spans="1:6">
      <c r="C9" s="2"/>
    </row>
    <row r="11" spans="1:6">
      <c r="C11" s="27" t="s">
        <v>167</v>
      </c>
      <c r="D11" s="19">
        <f>D5+D6+D7+D8</f>
        <v>1616000</v>
      </c>
    </row>
  </sheetData>
  <mergeCells count="1">
    <mergeCell ref="A1:F2"/>
  </mergeCells>
  <phoneticPr fontId="3" type="noConversion"/>
  <pageMargins left="0.7" right="0.7" top="0.75" bottom="0.75" header="0.3" footer="0.3"/>
  <pageSetup paperSize="9" orientation="portrait"/>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D6A03-A2A4-443C-BC70-1839ECF295AD}">
  <sheetPr>
    <tabColor rgb="FFFF0000"/>
  </sheetPr>
  <dimension ref="A1:J11"/>
  <sheetViews>
    <sheetView topLeftCell="B2" workbookViewId="0">
      <selection activeCell="J12" sqref="J12"/>
    </sheetView>
  </sheetViews>
  <sheetFormatPr defaultColWidth="11.42578125" defaultRowHeight="15"/>
  <cols>
    <col min="1" max="1" width="29" customWidth="1"/>
    <col min="2" max="2" width="38" customWidth="1"/>
    <col min="3" max="3" width="43.85546875" bestFit="1" customWidth="1"/>
    <col min="4" max="4" width="29" customWidth="1"/>
    <col min="5" max="7" width="29" hidden="1" customWidth="1"/>
    <col min="8" max="8" width="29" customWidth="1"/>
    <col min="9" max="9" width="14" bestFit="1" customWidth="1"/>
    <col min="10" max="10" width="14" customWidth="1"/>
  </cols>
  <sheetData>
    <row r="1" spans="1:10" ht="30" customHeight="1">
      <c r="A1" s="39" t="s">
        <v>0</v>
      </c>
      <c r="B1" s="39"/>
      <c r="C1" s="39"/>
      <c r="D1" s="39"/>
      <c r="E1" s="39"/>
      <c r="F1" s="39"/>
      <c r="G1" s="39"/>
      <c r="H1" s="39"/>
      <c r="I1" s="39"/>
      <c r="J1" s="39"/>
    </row>
    <row r="2" spans="1:10" ht="15" customHeight="1">
      <c r="A2" s="40"/>
      <c r="B2" s="40"/>
      <c r="C2" s="40"/>
      <c r="D2" s="40"/>
      <c r="E2" s="40"/>
      <c r="F2" s="40"/>
      <c r="G2" s="40"/>
      <c r="H2" s="40"/>
      <c r="I2" s="40"/>
      <c r="J2" s="40"/>
    </row>
    <row r="4" spans="1:10">
      <c r="A4" s="1" t="s">
        <v>1</v>
      </c>
      <c r="B4" s="1" t="s">
        <v>173</v>
      </c>
      <c r="C4" s="1" t="s">
        <v>64</v>
      </c>
      <c r="D4" s="1" t="s">
        <v>174</v>
      </c>
      <c r="E4" s="1" t="s">
        <v>65</v>
      </c>
      <c r="F4" s="1" t="s">
        <v>66</v>
      </c>
      <c r="G4" s="1" t="s">
        <v>6</v>
      </c>
      <c r="H4" s="1" t="s">
        <v>175</v>
      </c>
      <c r="I4" s="1" t="s">
        <v>176</v>
      </c>
      <c r="J4" s="1" t="s">
        <v>177</v>
      </c>
    </row>
    <row r="5" spans="1:10" ht="51.75" customHeight="1">
      <c r="A5" s="23" t="s">
        <v>178</v>
      </c>
      <c r="B5" s="24" t="s">
        <v>179</v>
      </c>
      <c r="C5" s="10" t="s">
        <v>180</v>
      </c>
      <c r="D5" s="29">
        <v>3004747</v>
      </c>
      <c r="E5" s="13">
        <f>Tabla3615[[#This Row],[Sueldo mensual]]*19%</f>
        <v>570901.93000000005</v>
      </c>
      <c r="F5" s="13">
        <f>Tabla3615[[#This Row],[Sueldo mensual]]+Tabla3615[[#This Row],[IVA Incluido]]</f>
        <v>3575648.93</v>
      </c>
      <c r="G5" s="2" t="s">
        <v>28</v>
      </c>
      <c r="H5" s="28">
        <v>40</v>
      </c>
      <c r="I5" s="13">
        <f>(Tabla3615[[#This Row],[Sueldo mensual]]/30)/8</f>
        <v>12519.779166666667</v>
      </c>
      <c r="J5" s="8">
        <f>Tabla3615[[#This Row],[Costo(Hora)]]*Tabla3615[[#This Row],[Trabajo (Horas)]]</f>
        <v>500791.16666666669</v>
      </c>
    </row>
    <row r="6" spans="1:10" ht="47.25" customHeight="1">
      <c r="A6" s="23" t="s">
        <v>57</v>
      </c>
      <c r="B6" s="23" t="s">
        <v>181</v>
      </c>
      <c r="C6" s="10" t="s">
        <v>182</v>
      </c>
      <c r="D6" s="29">
        <v>2918813</v>
      </c>
      <c r="E6" s="13">
        <f>Tabla3615[[#This Row],[Sueldo mensual]]*19%</f>
        <v>554574.47</v>
      </c>
      <c r="F6" s="13">
        <f>Tabla3615[[#This Row],[Sueldo mensual]]+Tabla3615[[#This Row],[IVA Incluido]]</f>
        <v>3473387.4699999997</v>
      </c>
      <c r="G6" s="13" t="s">
        <v>28</v>
      </c>
      <c r="H6" s="28">
        <v>70</v>
      </c>
      <c r="I6" s="13">
        <f>(Tabla3615[[#This Row],[Sueldo mensual]]/30)/8</f>
        <v>12161.720833333333</v>
      </c>
      <c r="J6" s="8">
        <f>Tabla3615[[#This Row],[Costo(Hora)]]*Tabla3615[[#This Row],[Trabajo (Horas)]]</f>
        <v>851320.45833333326</v>
      </c>
    </row>
    <row r="7" spans="1:10" ht="39" customHeight="1">
      <c r="A7" s="23" t="s">
        <v>61</v>
      </c>
      <c r="B7" s="23" t="s">
        <v>183</v>
      </c>
      <c r="C7" s="6" t="s">
        <v>184</v>
      </c>
      <c r="D7" s="29">
        <v>4238411</v>
      </c>
      <c r="E7" s="13">
        <f>Tabla3615[[#This Row],[Sueldo mensual]]*19%</f>
        <v>805298.09</v>
      </c>
      <c r="F7" s="13">
        <f>Tabla3615[[#This Row],[Sueldo mensual]]+Tabla3615[[#This Row],[IVA Incluido]]</f>
        <v>5043709.09</v>
      </c>
      <c r="G7" s="13" t="s">
        <v>28</v>
      </c>
      <c r="H7" s="28">
        <v>70</v>
      </c>
      <c r="I7" s="13">
        <f>(Tabla3615[[#This Row],[Sueldo mensual]]/30)/8</f>
        <v>17660.045833333334</v>
      </c>
      <c r="J7" s="8">
        <f>Tabla3615[[#This Row],[Costo(Hora)]]*Tabla3615[[#This Row],[Trabajo (Horas)]]</f>
        <v>1236203.2083333333</v>
      </c>
    </row>
    <row r="8" spans="1:10" ht="29.25">
      <c r="A8" s="23" t="s">
        <v>185</v>
      </c>
      <c r="B8" s="23" t="s">
        <v>186</v>
      </c>
      <c r="C8" s="21" t="s">
        <v>187</v>
      </c>
      <c r="D8" s="29">
        <v>2998631</v>
      </c>
      <c r="E8" s="13">
        <f>Tabla3615[[#This Row],[Sueldo mensual]]*19%</f>
        <v>569739.89</v>
      </c>
      <c r="F8" s="13">
        <f>Tabla3615[[#This Row],[Sueldo mensual]]+Tabla3615[[#This Row],[IVA Incluido]]</f>
        <v>3568370.89</v>
      </c>
      <c r="G8" s="13" t="s">
        <v>28</v>
      </c>
      <c r="H8" s="28">
        <v>60</v>
      </c>
      <c r="I8" s="13">
        <f>(Tabla3615[[#This Row],[Sueldo mensual]]/30)/8</f>
        <v>12494.295833333334</v>
      </c>
      <c r="J8" s="8">
        <f>Tabla3615[[#This Row],[Costo(Hora)]]*Tabla3615[[#This Row],[Trabajo (Horas)]]</f>
        <v>749657.75</v>
      </c>
    </row>
    <row r="9" spans="1:10" ht="29.25" hidden="1">
      <c r="A9" s="23" t="s">
        <v>185</v>
      </c>
      <c r="B9" s="23" t="s">
        <v>186</v>
      </c>
      <c r="C9" s="21" t="s">
        <v>187</v>
      </c>
      <c r="D9" s="13">
        <v>2998632</v>
      </c>
      <c r="E9" s="13">
        <f>Tabla3615[[#This Row],[Sueldo mensual]]*19%</f>
        <v>569740.07999999996</v>
      </c>
      <c r="F9" s="13">
        <f>Tabla3615[[#This Row],[Sueldo mensual]]+Tabla3615[[#This Row],[IVA Incluido]]</f>
        <v>3568372.08</v>
      </c>
      <c r="G9" s="13" t="s">
        <v>28</v>
      </c>
      <c r="H9" s="28">
        <v>71</v>
      </c>
      <c r="I9" s="13">
        <f>(Tabla3615[[#This Row],[Sueldo mensual]]/30)/8</f>
        <v>12494.3</v>
      </c>
      <c r="J9" s="8">
        <f>Tabla3615[[#This Row],[Costo(Hora)]]*Tabla3615[[#This Row],[Trabajo (Horas)]]</f>
        <v>887095.29999999993</v>
      </c>
    </row>
    <row r="10" spans="1:10" ht="29.25" hidden="1">
      <c r="A10" s="23" t="s">
        <v>185</v>
      </c>
      <c r="B10" s="23" t="s">
        <v>186</v>
      </c>
      <c r="C10" s="21" t="s">
        <v>187</v>
      </c>
      <c r="D10" s="13">
        <v>2998633</v>
      </c>
      <c r="E10" s="13">
        <f>Tabla3615[[#This Row],[Sueldo mensual]]*19%</f>
        <v>569740.27</v>
      </c>
      <c r="F10" s="13">
        <f>Tabla3615[[#This Row],[Sueldo mensual]]+Tabla3615[[#This Row],[IVA Incluido]]</f>
        <v>3568373.27</v>
      </c>
      <c r="G10" s="13" t="s">
        <v>28</v>
      </c>
      <c r="H10" s="28">
        <v>72</v>
      </c>
      <c r="I10" s="13">
        <f>(Tabla3615[[#This Row],[Sueldo mensual]]/30)/8</f>
        <v>12494.304166666667</v>
      </c>
      <c r="J10" s="8">
        <f>Tabla3615[[#This Row],[Costo(Hora)]]*Tabla3615[[#This Row],[Trabajo (Horas)]]</f>
        <v>899589.9</v>
      </c>
    </row>
    <row r="11" spans="1:10">
      <c r="A11" s="23"/>
      <c r="B11" s="23"/>
      <c r="C11" s="21"/>
      <c r="D11" s="13"/>
      <c r="E11" s="13">
        <f>Tabla3615[[#This Row],[Sueldo mensual]]*19%</f>
        <v>0</v>
      </c>
      <c r="F11" s="13">
        <f>Tabla3615[[#This Row],[Sueldo mensual]]+Tabla3615[[#This Row],[IVA Incluido]]</f>
        <v>0</v>
      </c>
      <c r="G11" s="13" t="s">
        <v>28</v>
      </c>
      <c r="H11" s="28"/>
      <c r="I11" s="30" t="s">
        <v>167</v>
      </c>
      <c r="J11" s="8">
        <f>SUM(D5:D8)</f>
        <v>13160602</v>
      </c>
    </row>
  </sheetData>
  <mergeCells count="1">
    <mergeCell ref="A1:J2"/>
  </mergeCells>
  <hyperlinks>
    <hyperlink ref="C6" r:id="rId1" xr:uid="{C0321894-7CC6-4179-BBEA-AD3F993AC6B9}"/>
    <hyperlink ref="C5" r:id="rId2" xr:uid="{405F2F6D-01C0-4EAF-8832-C5ED872710BD}"/>
    <hyperlink ref="C7" r:id="rId3" xr:uid="{8081D677-4A1A-4310-8572-155A4B1FC7C1}"/>
    <hyperlink ref="C8" r:id="rId4" xr:uid="{BBF56F6E-9505-45E1-9289-028A3AFAF151}"/>
    <hyperlink ref="C9" r:id="rId5" xr:uid="{6DA2AC2A-D623-4A10-AED5-293973666222}"/>
    <hyperlink ref="C10" r:id="rId6" xr:uid="{3A748616-F017-49E0-BB6A-21F040DFC638}"/>
  </hyperlinks>
  <pageMargins left="0.7" right="0.7" top="0.75" bottom="0.75" header="0.3" footer="0.3"/>
  <pageSetup paperSize="9" orientation="portrait"/>
  <tableParts count="1">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479B0-D838-4A8A-B78C-8C66B599A41F}">
  <sheetPr>
    <tabColor rgb="FFFF0000"/>
  </sheetPr>
  <dimension ref="A1:I12"/>
  <sheetViews>
    <sheetView topLeftCell="A3" workbookViewId="0">
      <selection activeCell="A5" sqref="A5"/>
    </sheetView>
  </sheetViews>
  <sheetFormatPr defaultColWidth="11.42578125" defaultRowHeight="15"/>
  <cols>
    <col min="1" max="1" width="29" customWidth="1"/>
    <col min="2" max="2" width="38" customWidth="1"/>
    <col min="3" max="3" width="43.85546875" bestFit="1" customWidth="1"/>
    <col min="4" max="4" width="29" customWidth="1"/>
    <col min="5" max="7" width="29" hidden="1" customWidth="1"/>
    <col min="8" max="8" width="29" customWidth="1"/>
    <col min="9" max="9" width="14" customWidth="1"/>
  </cols>
  <sheetData>
    <row r="1" spans="1:9" ht="30" customHeight="1">
      <c r="A1" s="39" t="s">
        <v>0</v>
      </c>
      <c r="B1" s="39"/>
      <c r="C1" s="39"/>
      <c r="D1" s="39"/>
      <c r="E1" s="39"/>
      <c r="F1" s="39"/>
      <c r="G1" s="39"/>
      <c r="H1" s="39"/>
      <c r="I1" s="39"/>
    </row>
    <row r="2" spans="1:9" ht="15" customHeight="1">
      <c r="A2" s="40"/>
      <c r="B2" s="40"/>
      <c r="C2" s="40"/>
      <c r="D2" s="40"/>
      <c r="E2" s="40"/>
      <c r="F2" s="40"/>
      <c r="G2" s="40"/>
      <c r="H2" s="40"/>
      <c r="I2" s="40"/>
    </row>
    <row r="4" spans="1:9">
      <c r="A4" s="1" t="s">
        <v>1</v>
      </c>
      <c r="B4" s="1" t="s">
        <v>188</v>
      </c>
      <c r="C4" s="1" t="s">
        <v>189</v>
      </c>
      <c r="D4" s="1" t="s">
        <v>190</v>
      </c>
      <c r="E4" s="1" t="s">
        <v>65</v>
      </c>
      <c r="F4" s="1" t="s">
        <v>66</v>
      </c>
      <c r="G4" s="1" t="s">
        <v>6</v>
      </c>
      <c r="H4" s="1" t="s">
        <v>191</v>
      </c>
      <c r="I4" s="1" t="s">
        <v>177</v>
      </c>
    </row>
    <row r="5" spans="1:9" ht="51.75" customHeight="1">
      <c r="A5" s="23" t="s">
        <v>192</v>
      </c>
      <c r="B5" s="24" t="s">
        <v>179</v>
      </c>
      <c r="C5" s="32" t="s">
        <v>193</v>
      </c>
      <c r="D5" s="29">
        <f>3728*2</f>
        <v>7456</v>
      </c>
      <c r="E5" s="13">
        <f>Tabla361517[[#This Row],[Costo alquiler(Horas)]]*19%</f>
        <v>1416.64</v>
      </c>
      <c r="F5" s="13">
        <f>Tabla361517[[#This Row],[Costo alquiler(Horas)]]+Tabla361517[[#This Row],[IVA Incluido]]</f>
        <v>8872.64</v>
      </c>
      <c r="G5" s="2" t="s">
        <v>28</v>
      </c>
      <c r="H5" s="28">
        <v>40</v>
      </c>
      <c r="I5" s="8">
        <f>Tabla361517[[#This Row],[Costo alquiler(Horas)]]*Tabla361517[[#This Row],[Uso Estimado(Horas)]]</f>
        <v>298240</v>
      </c>
    </row>
    <row r="6" spans="1:9" ht="47.25" customHeight="1">
      <c r="A6" s="23" t="s">
        <v>194</v>
      </c>
      <c r="B6" s="23" t="s">
        <v>181</v>
      </c>
      <c r="C6" s="32" t="s">
        <v>195</v>
      </c>
      <c r="D6" s="29">
        <f>3728*2</f>
        <v>7456</v>
      </c>
      <c r="E6" s="13">
        <f>Tabla361517[[#This Row],[Costo alquiler(Horas)]]*19%</f>
        <v>1416.64</v>
      </c>
      <c r="F6" s="13">
        <f>Tabla361517[[#This Row],[Costo alquiler(Horas)]]+Tabla361517[[#This Row],[IVA Incluido]]</f>
        <v>8872.64</v>
      </c>
      <c r="G6" s="13" t="s">
        <v>28</v>
      </c>
      <c r="H6" s="28">
        <v>70</v>
      </c>
      <c r="I6" s="8">
        <f>Tabla361517[[#This Row],[Costo alquiler(Horas)]]*Tabla361517[[#This Row],[Uso Estimado(Horas)]]</f>
        <v>521920</v>
      </c>
    </row>
    <row r="7" spans="1:9" ht="39" customHeight="1">
      <c r="A7" s="23" t="s">
        <v>196</v>
      </c>
      <c r="B7" s="23" t="s">
        <v>183</v>
      </c>
      <c r="C7" s="32" t="s">
        <v>197</v>
      </c>
      <c r="D7" s="29">
        <f t="shared" ref="D7:D8" si="0">3728*2.2</f>
        <v>8201.6</v>
      </c>
      <c r="E7" s="13">
        <f>Tabla361517[[#This Row],[Costo alquiler(Horas)]]*19%</f>
        <v>1558.3040000000001</v>
      </c>
      <c r="F7" s="13">
        <f>Tabla361517[[#This Row],[Costo alquiler(Horas)]]+Tabla361517[[#This Row],[IVA Incluido]]</f>
        <v>9759.9040000000005</v>
      </c>
      <c r="G7" s="13" t="s">
        <v>28</v>
      </c>
      <c r="H7" s="28">
        <v>70</v>
      </c>
      <c r="I7" s="8">
        <f>Tabla361517[[#This Row],[Costo alquiler(Horas)]]*Tabla361517[[#This Row],[Uso Estimado(Horas)]]</f>
        <v>574112</v>
      </c>
    </row>
    <row r="8" spans="1:9" ht="57.75">
      <c r="A8" s="23" t="s">
        <v>198</v>
      </c>
      <c r="B8" s="23" t="s">
        <v>186</v>
      </c>
      <c r="C8" s="32" t="s">
        <v>199</v>
      </c>
      <c r="D8" s="29">
        <f t="shared" si="0"/>
        <v>8201.6</v>
      </c>
      <c r="E8" s="13">
        <f>Tabla361517[[#This Row],[Costo alquiler(Horas)]]*19%</f>
        <v>1558.3040000000001</v>
      </c>
      <c r="F8" s="13">
        <f>Tabla361517[[#This Row],[Costo alquiler(Horas)]]+Tabla361517[[#This Row],[IVA Incluido]]</f>
        <v>9759.9040000000005</v>
      </c>
      <c r="G8" s="13" t="s">
        <v>28</v>
      </c>
      <c r="H8" s="28">
        <v>60</v>
      </c>
      <c r="I8" s="8">
        <f>Tabla361517[[#This Row],[Costo alquiler(Horas)]]*Tabla361517[[#This Row],[Uso Estimado(Horas)]]</f>
        <v>492096</v>
      </c>
    </row>
    <row r="9" spans="1:9" ht="29.25" hidden="1">
      <c r="A9" s="23" t="s">
        <v>185</v>
      </c>
      <c r="B9" s="23" t="s">
        <v>186</v>
      </c>
      <c r="C9" s="21" t="s">
        <v>187</v>
      </c>
      <c r="D9" s="13">
        <v>2998632</v>
      </c>
      <c r="E9" s="13">
        <f>Tabla361517[[#This Row],[Costo alquiler(Horas)]]*19%</f>
        <v>569740.07999999996</v>
      </c>
      <c r="F9" s="13">
        <f>Tabla361517[[#This Row],[Costo alquiler(Horas)]]+Tabla361517[[#This Row],[IVA Incluido]]</f>
        <v>3568372.08</v>
      </c>
      <c r="G9" s="13" t="s">
        <v>28</v>
      </c>
      <c r="H9" s="28">
        <v>71</v>
      </c>
      <c r="I9" s="8" t="e">
        <f>#REF!*Tabla361517[[#This Row],[Uso Estimado(Horas)]]</f>
        <v>#REF!</v>
      </c>
    </row>
    <row r="10" spans="1:9" ht="29.25" hidden="1">
      <c r="A10" s="23" t="s">
        <v>185</v>
      </c>
      <c r="B10" s="23" t="s">
        <v>186</v>
      </c>
      <c r="C10" s="21" t="s">
        <v>187</v>
      </c>
      <c r="D10" s="13">
        <v>2998633</v>
      </c>
      <c r="E10" s="13">
        <f>Tabla361517[[#This Row],[Costo alquiler(Horas)]]*19%</f>
        <v>569740.27</v>
      </c>
      <c r="F10" s="13">
        <f>Tabla361517[[#This Row],[Costo alquiler(Horas)]]+Tabla361517[[#This Row],[IVA Incluido]]</f>
        <v>3568373.27</v>
      </c>
      <c r="G10" s="13" t="s">
        <v>28</v>
      </c>
      <c r="H10" s="28">
        <v>72</v>
      </c>
      <c r="I10" s="8" t="e">
        <f>#REF!*Tabla361517[[#This Row],[Uso Estimado(Horas)]]</f>
        <v>#REF!</v>
      </c>
    </row>
    <row r="11" spans="1:9">
      <c r="A11" s="23"/>
      <c r="B11" s="23"/>
      <c r="C11" s="21"/>
      <c r="D11" s="13"/>
      <c r="E11" s="13">
        <f>Tabla361517[[#This Row],[Costo alquiler(Horas)]]*19%</f>
        <v>0</v>
      </c>
      <c r="F11" s="13">
        <f>Tabla361517[[#This Row],[Costo alquiler(Horas)]]+Tabla361517[[#This Row],[IVA Incluido]]</f>
        <v>0</v>
      </c>
      <c r="G11" s="13" t="s">
        <v>28</v>
      </c>
      <c r="H11" s="30" t="s">
        <v>167</v>
      </c>
      <c r="I11" s="8">
        <f>I5+I6+I7+I8</f>
        <v>1886368</v>
      </c>
    </row>
    <row r="12" spans="1:9">
      <c r="C12" s="1"/>
      <c r="E12" s="31">
        <f>Tabla361517[[#This Row],[Costo alquiler(Horas)]]*19%</f>
        <v>0</v>
      </c>
      <c r="F12" s="31">
        <f>Tabla361517[[#This Row],[Costo alquiler(Horas)]]+Tabla361517[[#This Row],[IVA Incluido]]</f>
        <v>0</v>
      </c>
      <c r="I12" s="8"/>
    </row>
  </sheetData>
  <mergeCells count="1">
    <mergeCell ref="A1:I2"/>
  </mergeCells>
  <hyperlinks>
    <hyperlink ref="C9" r:id="rId1" xr:uid="{7BCF046F-D897-4CEC-9A10-5BDBD5E51A47}"/>
    <hyperlink ref="C10" r:id="rId2" xr:uid="{BA9800A0-CFBE-4F22-8F76-EA9518CC5E48}"/>
    <hyperlink ref="C5" r:id="rId3" xr:uid="{53D3F199-2E64-4020-93D0-062D6ECFFED8}"/>
    <hyperlink ref="C6" r:id="rId4" xr:uid="{FA157892-9AF6-4D0D-85AD-35E7697767D1}"/>
    <hyperlink ref="C7" r:id="rId5" xr:uid="{07423B64-092F-4947-BFCB-07F6B61875B3}"/>
    <hyperlink ref="C8" r:id="rId6" xr:uid="{D7A48074-F8A3-499C-B8E4-86035BBEDC69}"/>
  </hyperlinks>
  <pageMargins left="0.7" right="0.7" top="0.75" bottom="0.75" header="0.3" footer="0.3"/>
  <pageSetup paperSize="9" orientation="portrait"/>
  <tableParts count="1">
    <tablePart r:id="rId7"/>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F7FBE-1F19-47C1-8EEE-410E50F34397}">
  <sheetPr>
    <tabColor rgb="FFFF0000"/>
  </sheetPr>
  <dimension ref="A1:E18"/>
  <sheetViews>
    <sheetView workbookViewId="0">
      <selection activeCell="F17" sqref="F17"/>
    </sheetView>
  </sheetViews>
  <sheetFormatPr defaultColWidth="11.42578125" defaultRowHeight="15"/>
  <cols>
    <col min="1" max="2" width="29" customWidth="1"/>
    <col min="3" max="5" width="29" hidden="1" customWidth="1"/>
  </cols>
  <sheetData>
    <row r="1" spans="1:5" ht="30" customHeight="1">
      <c r="A1" s="39" t="s">
        <v>200</v>
      </c>
      <c r="B1" s="39"/>
      <c r="C1" s="39"/>
      <c r="D1" s="39"/>
      <c r="E1" s="39"/>
    </row>
    <row r="2" spans="1:5" ht="15" customHeight="1">
      <c r="A2" s="40"/>
      <c r="B2" s="40"/>
      <c r="C2" s="40"/>
      <c r="D2" s="40"/>
      <c r="E2" s="40"/>
    </row>
    <row r="4" spans="1:5">
      <c r="A4" s="1" t="s">
        <v>201</v>
      </c>
      <c r="B4" s="1" t="s">
        <v>202</v>
      </c>
      <c r="C4" s="1" t="s">
        <v>65</v>
      </c>
      <c r="D4" s="1" t="s">
        <v>66</v>
      </c>
      <c r="E4" s="1" t="s">
        <v>6</v>
      </c>
    </row>
    <row r="5" spans="1:5" ht="51.75" customHeight="1">
      <c r="A5" s="23" t="s">
        <v>203</v>
      </c>
      <c r="B5" s="34">
        <f>'Recursos-Humanos'!J11</f>
        <v>13160602</v>
      </c>
      <c r="C5" s="13">
        <f>Tabla361516[[#This Row],[Costo]]*19%</f>
        <v>2500514.38</v>
      </c>
      <c r="D5" s="13">
        <f>Tabla361516[[#This Row],[Costo]]+Tabla361516[[#This Row],[IVA Incluido]]</f>
        <v>15661116.379999999</v>
      </c>
      <c r="E5" s="2" t="s">
        <v>28</v>
      </c>
    </row>
    <row r="6" spans="1:5" ht="47.25" customHeight="1">
      <c r="A6" s="23" t="s">
        <v>204</v>
      </c>
      <c r="B6" s="34">
        <f>'Desarrollo-actividades '!D11</f>
        <v>1616000</v>
      </c>
      <c r="C6" s="13">
        <f>Tabla361516[[#This Row],[Costo]]*19%</f>
        <v>307040</v>
      </c>
      <c r="D6" s="13">
        <f>Tabla361516[[#This Row],[Costo]]+Tabla361516[[#This Row],[IVA Incluido]]</f>
        <v>1923040</v>
      </c>
      <c r="E6" s="13" t="s">
        <v>28</v>
      </c>
    </row>
    <row r="7" spans="1:5" ht="39" customHeight="1">
      <c r="A7" s="23" t="s">
        <v>205</v>
      </c>
      <c r="B7" s="34">
        <f>'SoporteTecnico-mantenimiento'!D11</f>
        <v>1396000</v>
      </c>
      <c r="C7" s="13">
        <f>Tabla361516[[#This Row],[Costo]]*19%</f>
        <v>265240</v>
      </c>
      <c r="D7" s="13">
        <f>Tabla361516[[#This Row],[Costo]]+Tabla361516[[#This Row],[IVA Incluido]]</f>
        <v>1661240</v>
      </c>
      <c r="E7" s="13" t="s">
        <v>28</v>
      </c>
    </row>
    <row r="8" spans="1:5">
      <c r="A8" s="23" t="s">
        <v>206</v>
      </c>
      <c r="B8" s="34">
        <f>'Alquiler-Equipos-Computo'!I11</f>
        <v>1886368</v>
      </c>
      <c r="C8" s="13">
        <f>Tabla361516[[#This Row],[Costo]]*19%</f>
        <v>358409.92</v>
      </c>
      <c r="D8" s="13">
        <f>Tabla361516[[#This Row],[Costo]]+Tabla361516[[#This Row],[IVA Incluido]]</f>
        <v>2244777.92</v>
      </c>
      <c r="E8" s="13" t="s">
        <v>28</v>
      </c>
    </row>
    <row r="9" spans="1:5" hidden="1">
      <c r="A9" s="23" t="s">
        <v>185</v>
      </c>
      <c r="B9" s="34">
        <v>2998631</v>
      </c>
      <c r="C9" s="13">
        <f>Tabla361516[[#This Row],[Costo]]*19%</f>
        <v>569739.89</v>
      </c>
      <c r="D9" s="13">
        <f>Tabla361516[[#This Row],[Costo]]+Tabla361516[[#This Row],[IVA Incluido]]</f>
        <v>3568370.89</v>
      </c>
      <c r="E9" s="13" t="s">
        <v>28</v>
      </c>
    </row>
    <row r="10" spans="1:5" hidden="1">
      <c r="A10" s="23" t="s">
        <v>185</v>
      </c>
      <c r="B10" s="34">
        <v>2998631</v>
      </c>
      <c r="C10" s="13">
        <f>Tabla361516[[#This Row],[Costo]]*19%</f>
        <v>569739.89</v>
      </c>
      <c r="D10" s="13">
        <f>Tabla361516[[#This Row],[Costo]]+Tabla361516[[#This Row],[IVA Incluido]]</f>
        <v>3568370.89</v>
      </c>
      <c r="E10" s="13" t="s">
        <v>28</v>
      </c>
    </row>
    <row r="11" spans="1:5">
      <c r="A11" s="23" t="s">
        <v>207</v>
      </c>
      <c r="B11" s="34">
        <f>Dominio!E5</f>
        <v>57000</v>
      </c>
      <c r="C11" s="13">
        <f>Tabla361516[[#This Row],[Costo]]*19%</f>
        <v>10830</v>
      </c>
      <c r="D11" s="13">
        <f>Tabla361516[[#This Row],[Costo]]+Tabla361516[[#This Row],[IVA Incluido]]</f>
        <v>67830</v>
      </c>
      <c r="E11" s="13" t="s">
        <v>28</v>
      </c>
    </row>
    <row r="12" spans="1:5">
      <c r="A12" s="23" t="s">
        <v>208</v>
      </c>
      <c r="B12" s="34">
        <f>'Hosting-Servidor-web'!E5</f>
        <v>169900</v>
      </c>
      <c r="C12" s="13">
        <f>Tabla361516[[#This Row],[Costo]]*19%</f>
        <v>32281</v>
      </c>
      <c r="D12" s="13">
        <f>Tabla361516[[#This Row],[Costo]]+Tabla361516[[#This Row],[IVA Incluido]]</f>
        <v>202181</v>
      </c>
      <c r="E12" s="13" t="s">
        <v>28</v>
      </c>
    </row>
    <row r="13" spans="1:5">
      <c r="A13" s="23" t="s">
        <v>209</v>
      </c>
      <c r="B13" s="34">
        <v>4200000</v>
      </c>
      <c r="C13" s="13">
        <f>Tabla361516[[#This Row],[Costo]]*19%</f>
        <v>798000</v>
      </c>
      <c r="D13" s="13">
        <f>Tabla361516[[#This Row],[Costo]]+Tabla361516[[#This Row],[IVA Incluido]]</f>
        <v>4998000</v>
      </c>
      <c r="E13" s="13" t="s">
        <v>28</v>
      </c>
    </row>
    <row r="14" spans="1:5">
      <c r="A14" s="23" t="s">
        <v>210</v>
      </c>
      <c r="B14" s="34">
        <f>'Licencias de Windows'!E6</f>
        <v>39900</v>
      </c>
      <c r="C14" s="13">
        <f>Tabla361516[[#This Row],[Costo]]*19%</f>
        <v>7581</v>
      </c>
      <c r="D14" s="13">
        <f>Tabla361516[[#This Row],[Costo]]+Tabla361516[[#This Row],[IVA Incluido]]</f>
        <v>47481</v>
      </c>
      <c r="E14" s="13" t="s">
        <v>28</v>
      </c>
    </row>
    <row r="15" spans="1:5">
      <c r="A15" s="23" t="s">
        <v>211</v>
      </c>
      <c r="B15" s="34">
        <f>'Base de Datos'!E5</f>
        <v>1790000</v>
      </c>
      <c r="C15" s="13">
        <f>Tabla361516[[#This Row],[Costo]]*19%</f>
        <v>340100</v>
      </c>
      <c r="D15" s="13">
        <f>Tabla361516[[#This Row],[Costo]]+Tabla361516[[#This Row],[IVA Incluido]]</f>
        <v>2130100</v>
      </c>
      <c r="E15" s="13" t="s">
        <v>28</v>
      </c>
    </row>
    <row r="16" spans="1:5">
      <c r="A16" s="23" t="s">
        <v>212</v>
      </c>
      <c r="B16" s="34">
        <f>'Windows Server'!E6</f>
        <v>270000</v>
      </c>
      <c r="C16" s="13">
        <f>Tabla361516[[#This Row],[Costo]]*19%</f>
        <v>51300</v>
      </c>
      <c r="D16" s="13">
        <f>Tabla361516[[#This Row],[Costo]]+Tabla361516[[#This Row],[IVA Incluido]]</f>
        <v>321300</v>
      </c>
      <c r="E16" s="13" t="s">
        <v>28</v>
      </c>
    </row>
    <row r="17" spans="1:5">
      <c r="A17" s="23" t="s">
        <v>213</v>
      </c>
      <c r="B17" s="34">
        <f>'Visual Studio'!E5</f>
        <v>99000</v>
      </c>
      <c r="C17" s="13">
        <f>Tabla361516[[#This Row],[Costo]]*19%</f>
        <v>18810</v>
      </c>
      <c r="D17" s="13">
        <f>Tabla361516[[#This Row],[Costo]]+Tabla361516[[#This Row],[IVA Incluido]]</f>
        <v>117810</v>
      </c>
      <c r="E17" s="13" t="s">
        <v>28</v>
      </c>
    </row>
    <row r="18" spans="1:5">
      <c r="A18" s="35" t="s">
        <v>167</v>
      </c>
      <c r="B18" s="36">
        <f>SUM(B5:B17)</f>
        <v>30682032</v>
      </c>
      <c r="C18" s="13">
        <f>Tabla361516[[#This Row],[Costo]]*19%</f>
        <v>5829586.0800000001</v>
      </c>
      <c r="D18" s="13">
        <f>Tabla361516[[#This Row],[Costo]]+Tabla361516[[#This Row],[IVA Incluido]]</f>
        <v>36511618.079999998</v>
      </c>
      <c r="E18" s="13" t="s">
        <v>28</v>
      </c>
    </row>
  </sheetData>
  <mergeCells count="1">
    <mergeCell ref="A1:E2"/>
  </mergeCells>
  <pageMargins left="0.7" right="0.7" top="0.75" bottom="0.75" header="0.3" footer="0.3"/>
  <pageSetup paperSize="9"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Lorena Romero</dc:creator>
  <cp:keywords/>
  <dc:description/>
  <cp:lastModifiedBy>Usuario invitado</cp:lastModifiedBy>
  <cp:revision/>
  <dcterms:created xsi:type="dcterms:W3CDTF">2025-11-18T20:43:41Z</dcterms:created>
  <dcterms:modified xsi:type="dcterms:W3CDTF">2025-12-11T17:18:59Z</dcterms:modified>
  <cp:category/>
  <cp:contentStatus/>
</cp:coreProperties>
</file>